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projects.aihw.gov.au/PRJ03026/Analysis Output/"/>
    </mc:Choice>
  </mc:AlternateContent>
  <xr:revisionPtr revIDLastSave="0" documentId="13_ncr:20000001_{C782AC97-BB55-4E3D-9D02-BFDE6E971C15}" xr6:coauthVersionLast="47" xr6:coauthVersionMax="47" xr10:uidLastSave="{00000000-0000-0000-0000-000000000000}"/>
  <bookViews>
    <workbookView xWindow="-120" yWindow="-120" windowWidth="29040" windowHeight="15720" tabRatio="719" xr2:uid="{00000000-000D-0000-FFFF-FFFF00000000}"/>
  </bookViews>
  <sheets>
    <sheet name="Contents" sheetId="1" r:id="rId1"/>
    <sheet name="Table 5.1" sheetId="3" r:id="rId2"/>
    <sheet name="Table 5.2" sheetId="4" r:id="rId3"/>
    <sheet name="Table 5.3" sheetId="5" r:id="rId4"/>
    <sheet name="Table 5.4" sheetId="6" r:id="rId5"/>
    <sheet name="Table 5.5" sheetId="7" r:id="rId6"/>
    <sheet name="Table 5.6" sheetId="8" r:id="rId7"/>
    <sheet name="Table 5.7" sheetId="9" r:id="rId8"/>
    <sheet name="Table 5.8" sheetId="10" r:id="rId9"/>
    <sheet name="Table 5.9" sheetId="11" r:id="rId10"/>
    <sheet name="Table 5.10" sheetId="12" r:id="rId11"/>
    <sheet name="Table 5.11" sheetId="13" r:id="rId12"/>
    <sheet name="Table 5.12" sheetId="14" r:id="rId13"/>
    <sheet name="Table 5.13" sheetId="15" r:id="rId14"/>
    <sheet name="Table 5.14" sheetId="16" r:id="rId15"/>
    <sheet name="Table 5.15" sheetId="17" r:id="rId16"/>
    <sheet name="Table 5.16" sheetId="18" r:id="rId17"/>
    <sheet name="Table 5.17" sheetId="19" r:id="rId18"/>
    <sheet name="Table 5.18" sheetId="20" r:id="rId19"/>
    <sheet name="Table 5.19" sheetId="21" r:id="rId20"/>
    <sheet name="Table 5.20" sheetId="22" r:id="rId21"/>
    <sheet name="Table 5.21" sheetId="23" r:id="rId22"/>
    <sheet name="Table 5.22" sheetId="24" r:id="rId23"/>
    <sheet name="Table 5.23" sheetId="25" r:id="rId24"/>
    <sheet name="Table 5.24" sheetId="26" r:id="rId25"/>
    <sheet name="Table 5.25" sheetId="27" r:id="rId26"/>
    <sheet name="Table 5.26" sheetId="28" r:id="rId27"/>
    <sheet name="Table 5.27" sheetId="29" r:id="rId28"/>
    <sheet name="Table 5.28" sheetId="30" r:id="rId29"/>
    <sheet name="Table 5.29" sheetId="31" r:id="rId30"/>
    <sheet name="Table 5.30" sheetId="32" r:id="rId31"/>
    <sheet name="Table 5.31" sheetId="33" r:id="rId32"/>
    <sheet name="Table 5.32" sheetId="34" r:id="rId33"/>
    <sheet name="Table 5.33" sheetId="35" r:id="rId34"/>
    <sheet name="Table 5.34" sheetId="36" r:id="rId35"/>
    <sheet name="Table 5.35" sheetId="37" r:id="rId36"/>
    <sheet name="Table 5.36" sheetId="38" r:id="rId37"/>
    <sheet name="Table 5.37" sheetId="39" r:id="rId38"/>
    <sheet name="Table 5.38" sheetId="40" r:id="rId39"/>
    <sheet name="Table 5.39" sheetId="41" r:id="rId40"/>
    <sheet name="Table 5.40" sheetId="42" r:id="rId41"/>
    <sheet name="Table 5.41" sheetId="43" r:id="rId42"/>
    <sheet name="Table 5.42" sheetId="44" r:id="rId43"/>
    <sheet name="Table S5.1" sheetId="45" r:id="rId44"/>
    <sheet name="Table S5.2" sheetId="46" r:id="rId45"/>
    <sheet name="Table S5.3" sheetId="47" r:id="rId46"/>
    <sheet name="Table S5.4" sheetId="48" r:id="rId47"/>
    <sheet name="Table S5.5" sheetId="49" r:id="rId48"/>
    <sheet name="Table S5.6" sheetId="50" r:id="rId49"/>
    <sheet name="Table S5.7" sheetId="51" r:id="rId50"/>
    <sheet name="Table S5.8" sheetId="72" r:id="rId51"/>
    <sheet name="Table S5.9" sheetId="53" r:id="rId52"/>
    <sheet name="Table S5.10" sheetId="54" r:id="rId53"/>
    <sheet name="Table S5.11" sheetId="55" r:id="rId54"/>
    <sheet name="Table S5.12" sheetId="56" r:id="rId55"/>
    <sheet name="Table S5.13" sheetId="57" r:id="rId56"/>
    <sheet name="Table S5.14" sheetId="58" r:id="rId57"/>
    <sheet name="Table S5.15" sheetId="59" r:id="rId58"/>
    <sheet name="Table S5.16" sheetId="60" r:id="rId59"/>
    <sheet name="Table S5.17" sheetId="61" r:id="rId60"/>
    <sheet name="Table S5.18" sheetId="62" r:id="rId61"/>
    <sheet name="Table S5.19" sheetId="63" r:id="rId62"/>
    <sheet name="Table S5.20" sheetId="64" r:id="rId63"/>
    <sheet name="Table S5.21" sheetId="65" r:id="rId64"/>
    <sheet name="Table S5.22" sheetId="66" r:id="rId65"/>
    <sheet name="Table S5.23" sheetId="67" r:id="rId66"/>
    <sheet name="Table S5.24" sheetId="68" r:id="rId67"/>
    <sheet name="Table S5.25" sheetId="69" r:id="rId68"/>
    <sheet name="Table S5.26" sheetId="70" r:id="rId69"/>
    <sheet name="Technical specifications" sheetId="73" r:id="rId7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66" l="1"/>
  <c r="E8" i="66"/>
  <c r="F8" i="66"/>
  <c r="G8" i="66"/>
  <c r="D5" i="66"/>
  <c r="E5" i="66"/>
  <c r="F5" i="66"/>
  <c r="G5" i="66"/>
  <c r="C8" i="66"/>
  <c r="C5" i="66"/>
  <c r="D8" i="65"/>
  <c r="E8" i="65"/>
  <c r="F8" i="65"/>
  <c r="G8" i="65"/>
  <c r="D5" i="65"/>
  <c r="E5" i="65"/>
  <c r="F5" i="65"/>
  <c r="G5" i="65"/>
  <c r="C8" i="65"/>
  <c r="C5" i="65"/>
  <c r="D8" i="62"/>
  <c r="E8" i="62"/>
  <c r="F8" i="62"/>
  <c r="G8" i="62"/>
  <c r="D5" i="62"/>
  <c r="E5" i="62"/>
  <c r="F5" i="62"/>
  <c r="G5" i="62"/>
  <c r="C8" i="62"/>
  <c r="C5" i="62"/>
  <c r="D8" i="61"/>
  <c r="E8" i="61"/>
  <c r="F8" i="61"/>
  <c r="G8" i="61"/>
  <c r="D5" i="61"/>
  <c r="E5" i="61"/>
  <c r="F5" i="61"/>
  <c r="G5" i="61"/>
  <c r="C8" i="61"/>
  <c r="C5" i="61"/>
  <c r="D8" i="58"/>
  <c r="E8" i="58"/>
  <c r="F8" i="58"/>
  <c r="G8" i="58"/>
  <c r="C8" i="58"/>
  <c r="D5" i="58"/>
  <c r="E5" i="58"/>
  <c r="F5" i="58"/>
  <c r="G5" i="58"/>
  <c r="C5" i="58"/>
  <c r="D8" i="57"/>
  <c r="E8" i="57"/>
  <c r="F8" i="57"/>
  <c r="G8" i="57"/>
  <c r="D5" i="57"/>
  <c r="E5" i="57"/>
  <c r="F5" i="57"/>
  <c r="G5" i="57"/>
  <c r="C8" i="57"/>
  <c r="C5" i="57"/>
  <c r="D8" i="56"/>
  <c r="E8" i="56"/>
  <c r="F8" i="56"/>
  <c r="G8" i="56"/>
  <c r="D5" i="56"/>
  <c r="E5" i="56"/>
  <c r="F5" i="56"/>
  <c r="G5" i="56"/>
  <c r="C8" i="56"/>
  <c r="C5" i="56"/>
  <c r="D8" i="22"/>
  <c r="E8" i="22"/>
  <c r="F8" i="22"/>
  <c r="G8" i="22"/>
  <c r="D5" i="22"/>
  <c r="E5" i="22"/>
  <c r="F5" i="22"/>
  <c r="G5" i="22"/>
  <c r="C8" i="22"/>
  <c r="C5" i="22"/>
</calcChain>
</file>

<file path=xl/sharedStrings.xml><?xml version="1.0" encoding="utf-8"?>
<sst xmlns="http://schemas.openxmlformats.org/spreadsheetml/2006/main" count="3586" uniqueCount="613">
  <si>
    <t xml:space="preserve">Australian hospital statistics 2024–25: </t>
  </si>
  <si>
    <t>What services were provided?</t>
  </si>
  <si>
    <t>Table 5.1: Separations by broad category of service, public and private hospitals, 2020–21 to 2024–25</t>
  </si>
  <si>
    <t>Table 5.2: Patient days and average length of stay, for overnight acute separations, by broad category of service, public and private hospitals, 2024–25</t>
  </si>
  <si>
    <t>Table 5.3: Acute separations by Major Diagnostic Category (MDC) version 11.0 and medical/surgical/other partition, public and private hospitals, 2024–25</t>
  </si>
  <si>
    <t>Table 5.4: Separations for the 20 most common AR-DRGs version 11.0 for same-day acute separations, public and private hospitals, 2024–25</t>
  </si>
  <si>
    <t>Table 5.5: Separations for the 20 most common AR-DRGs version 11.0 for overnight acute separations, public and private hospitals, 2024–25</t>
  </si>
  <si>
    <t>Table 5.6: Separations involving a stay in a level 3 intensive care unit, public and private hospitals, 2024–25</t>
  </si>
  <si>
    <t>Table 5.7: Separations involving continuous ventilatory support, public and private hospitals, 2024–25</t>
  </si>
  <si>
    <t>Table 5.8: Numbers of separations reporting time in a level 3 intensive care unit and/or reporting continuous ventilatory support, public and private hospitals, 2024–25</t>
  </si>
  <si>
    <t>Table 5.9: Separations for newborn care, qualified newborns, public and private hospitals, states and territories, 2020–21 to 2024–25</t>
  </si>
  <si>
    <t>Table 5.10: Separations for newborn care, unqualified newborns, public and private hospitals, states and territories, 2020–21 to 2024–25</t>
  </si>
  <si>
    <t>Table 5.11: Separations for newborn care, by Indigenous status, all newborns, all hospitals, states and territories, 2024–25</t>
  </si>
  <si>
    <t>Table 5.12: Separations for the 20 most common principal diagnosis 3-character ICD-10-AM groupings for newborn care separations, qualified newborns, public and private hospitals, 2024–25</t>
  </si>
  <si>
    <t>Table 5.13: Separations for the 20 most common principal diagnosis 3-character ICD-10-AM groupings for newborn care separations, unqualified newborns, public and private hospitals, 2024–25</t>
  </si>
  <si>
    <t>Table 5.14: The 10 most common ACHI interventions for newborn care, qualified newborns, public and private hospitals, 2024–25</t>
  </si>
  <si>
    <t>Table 5.15: The 10 most common ACHI interventions for newborn care, unqualified newborns, public and private hospitals, 2024–25</t>
  </si>
  <si>
    <t>Table 5.16: Separations for newborn care, by mode of separation, all newborns, public and private hospitals, 2024–25</t>
  </si>
  <si>
    <t>Table 5.17: Separations for newborn care, by funding source, all newborns, public and private hospitals, 2024–25</t>
  </si>
  <si>
    <t>Table 5.18: Separations for rehabilitation care, by age group and sex, all hospitals, 2024–25</t>
  </si>
  <si>
    <t>Table 5.19: Separations for rehabilitation care, by Indigenous status, all hospitals, states and territories, 2024–25</t>
  </si>
  <si>
    <t>Table 5.20: Separation statistics for rehabilitation care, by remoteness area of usual residence, public and private hospitals, 2024–25</t>
  </si>
  <si>
    <t>Table 5.21: Separations for rehabilitation care, by mode of admission, public and private hospitals, 2024–25</t>
  </si>
  <si>
    <t>Table 5.22: Separations for rehabilitation care, by urgency of admission, public and private hospitals, 2024–25</t>
  </si>
  <si>
    <t>Table 5.23: Separations for rehabilitation care, by principal diagnosis in ICD-10-AM chapters, public and private hospitals, 2024–25</t>
  </si>
  <si>
    <t>Table 5.24: Separations for the 20 most common principal diagnoses in 3-character ICD-10-AM groupings for rehabilitation care separations, public and private hospitals, 2024–25</t>
  </si>
  <si>
    <t>Table 5.25: The 10 most common ACHI interventions for rehabilitation care, public and private hospitals, 2024–25</t>
  </si>
  <si>
    <t>Table 5.26: Separations for rehabilitation care, by mode of separation, public and private hospitals, 2024–25</t>
  </si>
  <si>
    <t>Table 5.27: Separations for rehabilitation care, by funding source, public and private hospitals, 2024–25</t>
  </si>
  <si>
    <t>Table 5.28: Separations for palliative care, by mode of admission, public and private hospitals, 2024–25</t>
  </si>
  <si>
    <t>Table 5.29: Separations for palliative care, by urgency of admission, public and private hospitals, 2024–25</t>
  </si>
  <si>
    <t>Table 5.30: Separations for the 5 most common neoplasm-related and the 5 most common other principal diagnoses in 3-character ICD-10-AM groupings for palliative care separations, public and private hospitals, 2024–25</t>
  </si>
  <si>
    <t>Table 5.31: The 10 most common ACHI interventions for palliative care, public and private hospitals, 2024–25</t>
  </si>
  <si>
    <t>Table 5.32: Separations for palliative care, by funding source, public and private hospitals, 2024–25</t>
  </si>
  <si>
    <t>Table 5.33: Separations for palliative care, by mode of separation, public and private hospitals, 2024–25</t>
  </si>
  <si>
    <t>Table 5.34: Separations for mental health care, by age group and sex, all hospitals, 2024–25</t>
  </si>
  <si>
    <t>Table 5.35: Separations for mental health care, by mode of admission, public and private hospitals, 2024–25</t>
  </si>
  <si>
    <t>Table 5.36: Separations for mental health care, by urgency of admission, public and private hospitals, 2024–25</t>
  </si>
  <si>
    <t>Table 5.37: Separations for mental health care, by principal diagnosis in ICD-10-AM chapters, public and private hospitals, 2024–25</t>
  </si>
  <si>
    <t>Table 5.38: The 10 most common ACHI interventions for mental health care, public and private hospitals, 2024–25</t>
  </si>
  <si>
    <t>Table 5.39: Patient days and average length of stay for mental health care, public and private hospitals, 2024–25</t>
  </si>
  <si>
    <t>Table 5.40: Separations for mental health care, by funding source, public and private hospitals, 2024–25</t>
  </si>
  <si>
    <t>Table 5.41: Separations for mental health care, by mode of separation, public and private hospitals, 2024–25</t>
  </si>
  <si>
    <t>Table 5.42: Separations, by mode of separation, public and private hospitals, 2024–25</t>
  </si>
  <si>
    <t>Table S5.1: Separations by broad category of service, public and private hospitals, states and territories, 2024–25</t>
  </si>
  <si>
    <t>Table S5.2: Same-day acute separations by broad category of service, public and private hospitals, states and territories, 2024–25</t>
  </si>
  <si>
    <t>Table S5.3: Overnight acute separations by broad category of service, public and private hospitals, states and territories, 2024–25</t>
  </si>
  <si>
    <t>Table S5.4: Same-day acute separations, by Major Diagnostic Category, AR-DRG version 11.0, public hospitals, state and territories, 2024–25</t>
  </si>
  <si>
    <t>Table S5.5: Same-day acute separations, by Major Diagnostic Category, AR-DRG version 11.0, private hospitals, state and territories, 2024–25</t>
  </si>
  <si>
    <t>Table S5.6: Overnight acute separations, by Major Diagnostic Category, AR-DRG version 11.0, public hospitals, state and territories, 2024–25</t>
  </si>
  <si>
    <t>Table S5.7: Overnight acute separations, by Major Diagnostic Category, AR-DRG version 11.0, private hospitals, state and territories, 2024–25</t>
  </si>
  <si>
    <t>Table S5.8: Separations involving a stay in an intensive care unit, public and private hospitals, states and territories, 2024–25</t>
  </si>
  <si>
    <t>Table S5.9: Separations involving continuous ventilatory support, public and private hospitals, states and territories, 2024–25</t>
  </si>
  <si>
    <t>Table S5.10: Separations for newborn care, all newborns, public and private hospitals, states and territories, 2020–21 to 2024–25</t>
  </si>
  <si>
    <t>Table S5.11: Newborn care separations, qualified and unqualified newborns, public and private hospitals, states and territories, 2024–25</t>
  </si>
  <si>
    <t>Table S5.12: Separation statistics for newborn care, by remoteness of area of usual residence, all newborns, public and private hospitals, 2024–25</t>
  </si>
  <si>
    <t>Table S5.13: Separation statistics for newborn care, by socioeconomic area of usual residence, all newborns, public and private hospitals, 2024–25</t>
  </si>
  <si>
    <t>Table S5.14: Separation statistics for rehabilitation care, by socioeconomic area of usual residence, all newborns, public and private hospitals, 2024–25</t>
  </si>
  <si>
    <t>Table S5.15: Palliative care separations as identified by care type and/or any (principal or additional) diagnosis of Z51.5, all hospitals, states and territories, 2024–25</t>
  </si>
  <si>
    <t>Table S5.16: Separations for palliative care, by Indigenous status, all hospitals, states and territories, 2024–25</t>
  </si>
  <si>
    <t>Table S5.17: Separation statistics for palliative care, by remoteness of area of usual residence, public and private hospitals, 2024–25</t>
  </si>
  <si>
    <t>Table S5.18: Separation statistics for palliative care, by socioeconomic area of usual residence, public and private hospitals, 2024–25</t>
  </si>
  <si>
    <t>Table S5.19: Mental health care separations, by same-day/overnight status, public and private hospitals, states and territories, 2024–25</t>
  </si>
  <si>
    <t>Table S5.20: Separations for mental health care, by Indigenous status, all hospitals, states and territories, 2024–25</t>
  </si>
  <si>
    <t>Table S5.21: Separation statistics for mental health care, by remoteness of area of usual residence, public and private hospitals, 2024–25</t>
  </si>
  <si>
    <t>Table S5.22: Separation statistics for mental health care, by socioeconomic area of usual residence, public and private hospitals, 2024–25</t>
  </si>
  <si>
    <t>Table S5.23: Separations, by mode of separation, public and private hospitals, states and territories, 2024–25</t>
  </si>
  <si>
    <t>Table S5.24: Same-day acute separations, by mode of separation, public and private hospitals, 2024–25</t>
  </si>
  <si>
    <t>Table S5.25: Overnight acute separations, by mode of separation, public and private hospitals, 2024–25</t>
  </si>
  <si>
    <t>Table S5.26: Separations that involved hospital-in-the-home care, public and private hospitals, states and territories, 2024–25</t>
  </si>
  <si>
    <t>Technical specifications</t>
  </si>
  <si>
    <t>Technical specifications - Admitted patient care 2024–25</t>
  </si>
  <si>
    <t>1. Standard separations analysis</t>
  </si>
  <si>
    <t>•     Counts of separations exclude records for Newborn care (without qualified days), Hospital boarders and Posthumous organ procurement.</t>
  </si>
  <si>
    <t>•     Includes separations for patients who were separated between 1 July 2024 and 30 June 2025, including patients admitted before 1 July 2024.</t>
  </si>
  <si>
    <t>•     Unless otherwise specified, tables present data by state of hospitalisation, not state of residence of the patient.</t>
  </si>
  <si>
    <t>2. Acute separations analysis</t>
  </si>
  <si>
    <t>•     Counts of separations include records for which the care type was reported as Acute, or Newborn care (with at least one qualified day), or the care type was not reported.</t>
  </si>
  <si>
    <t>3. Same-day/overnight status</t>
  </si>
  <si>
    <t>•     A separation is counted as a same-day separation if the patient was admitted and discharged on the same date.</t>
  </si>
  <si>
    <t>•     A separation is counted as an overnight separation if the patient was admitted and discharged on different dates.</t>
  </si>
  <si>
    <t>4. Hospital sector</t>
  </si>
  <si>
    <t>In some tables in this chapter, hospital types have been aggregated to hospital sector, where:</t>
  </si>
  <si>
    <t>•     Public hospitals include Public acute and Public psychiatric hospitals.</t>
  </si>
  <si>
    <t>•     Private hospitals include Private free-standing day hospital facilities and Other private hospitals.</t>
  </si>
  <si>
    <t>(which also include private psychiatric hospitals).</t>
  </si>
  <si>
    <t>5. Changes over time</t>
  </si>
  <si>
    <t>In tables presenting five years of data, the average annual change over time is calculated using geometric progression.</t>
  </si>
  <si>
    <t>6. Indigenous status</t>
  </si>
  <si>
    <t xml:space="preserve">In tables presenting information on Indigenous status: </t>
  </si>
  <si>
    <t>•     First Nations peoples includes separations for patients whose Indigenous status was reported as:</t>
  </si>
  <si>
    <t xml:space="preserve">        –Aboriginal but not Torres Strait Islander origin. </t>
  </si>
  <si>
    <t xml:space="preserve">        –Torres Strait Islander but not Aboriginal origin.</t>
  </si>
  <si>
    <t xml:space="preserve">        –Both Aboriginal and Torres Strait Islander origin.</t>
  </si>
  <si>
    <t xml:space="preserve">•     Other Australians includes separations for which the Indigenous status of the patient was reported as: 
      </t>
  </si>
  <si>
    <t xml:space="preserve">        –Neither Aboriginal nor Torres Strait Islander origin or </t>
  </si>
  <si>
    <t xml:space="preserve">        –Not stated/inadequately described. </t>
  </si>
  <si>
    <t>7. Age-standardised rates</t>
  </si>
  <si>
    <t>Age-standardisation of rates enables valid comparison across years and/or jurisdictions</t>
  </si>
  <si>
    <t>without being affected by the differences in age distributions.</t>
  </si>
  <si>
    <t>•     Separations per 1,000 population and patient days per 1,000 population are reported as</t>
  </si>
  <si>
    <t>directly age-standardised rates based on the Australian population as at 30 June of the year</t>
  </si>
  <si>
    <t>of interest. The Australian population as at 30 June 2001 was used as the reference</t>
  </si>
  <si>
    <t xml:space="preserve">population. </t>
  </si>
  <si>
    <t>In some tables, separation rates are accompanied by the standardised separation rate ratio</t>
  </si>
  <si>
    <t xml:space="preserve">(SRR). The SRRs are calculated by dividing the age-standardised separation 
rate for a population of interest </t>
  </si>
  <si>
    <t>by the age-standardised separation rate for a comparison population (the expected rate).</t>
  </si>
  <si>
    <t>•     For Indigenous status, the SRR is equal to the separation rate for Indigenous Australians</t>
  </si>
  <si>
    <t xml:space="preserve">divided by the separation rate for other Australians </t>
  </si>
  <si>
    <t xml:space="preserve">•     For analyses by state or territory of residence, remoteness areas and socioeconomic </t>
  </si>
  <si>
    <t>grouping, the SRR is equal to the separation rate for the state or territory of residence,</t>
  </si>
  <si>
    <t>remoteness area, or socioeconomic group, divided by the separation rate for Australia.</t>
  </si>
  <si>
    <t>8. Suppression of private hospital information</t>
  </si>
  <si>
    <t>9. Length of stay</t>
  </si>
  <si>
    <t>•     Standard separations analysis.</t>
  </si>
  <si>
    <t>•     Average length of stay is calculated as patient days divided by number of separations.</t>
  </si>
  <si>
    <t>•     Average length of stay (excluding same-day separations) is calculated as overnight patient days divided by number of overnight separations.</t>
  </si>
  <si>
    <t>10. Broad category of service</t>
  </si>
  <si>
    <t>•     Standard separations analysis, unless restricted to acute care.</t>
  </si>
  <si>
    <t>•     The broad categories of care are:</t>
  </si>
  <si>
    <t xml:space="preserve">      - Childbirth—separations for which the Australian Refined Diagnostic Related Groups (AR-DRG) was associated with childbirth, regardless of care type (that is, includes records for which the care type was reported as mental health care, or subacute of non-acute care). Does not include newborn care. </t>
  </si>
  <si>
    <t xml:space="preserve">      - Mental health—separations for which:  </t>
  </si>
  <si>
    <t xml:space="preserve">either the care type was reported as Mental health care, excluding separations for childbirth </t>
  </si>
  <si>
    <t>or for which specialised psychiatric care days were reported, excluding separations for childbirth</t>
  </si>
  <si>
    <t xml:space="preserve">      - General Intervention—acute separations for which the AR-DRG belonged to the Surgical partition of the AR‑DRG classification (involving an operating room procedure), excluding separations for childbirth </t>
  </si>
  <si>
    <t xml:space="preserve">      - Medical— acute separations for which the AR-DRG belonged to the Medical partition (not involving an operating room procedure), excluding separations for childbirth</t>
  </si>
  <si>
    <t xml:space="preserve">      - Specific Intervention— acute separations for which the AR-DRG did not belong to the Surgical or Medical partitions (involving a non-operating room procedure, such as endoscopy), excluding separations for childbirth</t>
  </si>
  <si>
    <t xml:space="preserve">      - Subacute and non-acute care—separations for which the care type was Rehabilitation care, Palliative care, Psychogeriatric care, Geriatric evaluation and management or Maintenance care, excluding separations for childbirth</t>
  </si>
  <si>
    <t>•    In some tables, the General, Medical and Specific acute categories are further disaggregated by urgency of admission—as Emergency or Non-emergency.</t>
  </si>
  <si>
    <t>11. Identification of interventions from AR-DRG</t>
  </si>
  <si>
    <t>Intervention type is identified by the second digit in the AR-DRG code</t>
  </si>
  <si>
    <t>•   Surgical - 0, 1, 2 or 3</t>
  </si>
  <si>
    <t>•   Medical - 6, 7, 8 or 9</t>
  </si>
  <si>
    <t>•   Other interventions - Any other entry</t>
  </si>
  <si>
    <t>Table specifications</t>
  </si>
  <si>
    <t>•     Broad category of service analysis, see specification 10.</t>
  </si>
  <si>
    <t>•     Average annual change between 2020–21 to 2024–25 is calculated as in specification 5.</t>
  </si>
  <si>
    <t>•     This table uses AR-DRG Version 10.0 for consistency across all years.</t>
  </si>
  <si>
    <t>•     Acute separations analysis, so excludes Mental health care and Subacute and non-acute care categories.</t>
  </si>
  <si>
    <t>•     Broad category of service analysis, see specification 10: Surgical, Medical and Other acute categories are further disaggregated by urgency of admission.</t>
  </si>
  <si>
    <t xml:space="preserve">•     Same-day/overnight status, as described in specifcation 3. </t>
  </si>
  <si>
    <t xml:space="preserve">•     Patient days are derived from the reported admission and separations dates. Excludes unqualified days for Newborns. </t>
  </si>
  <si>
    <t>•     Average length of stay calculated as in specification 9.</t>
  </si>
  <si>
    <t>Table 5.3: Acute separations by Major Diagnostic Category version 11.0 and medical/surgical/other partition, public and private hospitals, 2024–25</t>
  </si>
  <si>
    <t>•     Acute separations analysis.</t>
  </si>
  <si>
    <t>•     The 20 most common AR-DRGs version 11.0 are based on the combined separations for public and private hospitals.</t>
  </si>
  <si>
    <t>Table 5.6: Separations involving a stay in an intensive care unit, public and private hospitals, states and territories, 2024–25</t>
  </si>
  <si>
    <t>•     The numerator includes separations for which the number of hours of time in an Intensive Care Unit was reported.</t>
  </si>
  <si>
    <t>•     The denominator is all separations.</t>
  </si>
  <si>
    <t>•     Average duration in ICU is calculated for separations in the numerator.</t>
  </si>
  <si>
    <t>Table 5.7: Separations involving continuous ventilatory support, public and private hospitals, states and territories, 2024–25</t>
  </si>
  <si>
    <t>•     The numerator includes separations for which the number of hours of contiuous ventilatory support (CVS) was reported.</t>
  </si>
  <si>
    <t>•     Average duration of CVS is calculated for separations in the numerator.</t>
  </si>
  <si>
    <t>Table 5.8: Numbers of separations reporting time in an intensive care unit or involving continuous ventilatory support, public and private hospitals, 2024–25</t>
  </si>
  <si>
    <t>•     See specifications for tables 5.6 and 5.7.</t>
  </si>
  <si>
    <t>•     For newborns with qualified days</t>
  </si>
  <si>
    <t>•     For newborns without qualified days.</t>
  </si>
  <si>
    <t>•     For all newborns with or without qualified days.</t>
  </si>
  <si>
    <t xml:space="preserve">•     Indigenous status, as described in specification 6. </t>
  </si>
  <si>
    <t>•     The 20 most common principal diagnoses are based on the combined separations for public and private hospitals.</t>
  </si>
  <si>
    <t>•     The 10 most common interventions are based on the combined separations for public and private hospitals.</t>
  </si>
  <si>
    <t>•     Numbers of interventions are counts of ACHI intervention codes. It is possible that a single intervention code may represent multiple interventions or that a specific intervention may require the reporting of more than one code. Therefore, the number of intervention codes reported does not precisely reflect the number of separate interventions performed.</t>
  </si>
  <si>
    <t>•     Funding source has been aggregated as specified in Table 5.17.</t>
  </si>
  <si>
    <t>•     Separations for which the care type was reported as Rehabilitation.</t>
  </si>
  <si>
    <t>•     Age is calculated by subtracting the date of birth from the date of admission.</t>
  </si>
  <si>
    <t>•     If applicable, separations for which the sex was reported as intersex, indeterminate or was not stated/inadequately described are included in the Persons colum.</t>
  </si>
  <si>
    <t>•     If applicable, separations for which the date of birth was not reported are included in the Total row.</t>
  </si>
  <si>
    <t>•     Remoteness of area of usual residence is based on the patient's area of residence (provided as Statistical Area level 2 for most jurisdictions)</t>
  </si>
  <si>
    <t xml:space="preserve">•     Includes age-standardised rates as described in specification 7. </t>
  </si>
  <si>
    <t>•     Separation rate ratio is calculated as the separation rate for the remoteness area divided by the national separation rate.</t>
  </si>
  <si>
    <t xml:space="preserve">•     Admission mode—the category New admission to hospital is equivalent to Other in the mode of admission definition. It refers to all planned and unplanned admissions except transfers from other hospitals and statistical admissions </t>
  </si>
  <si>
    <t>Table 5.26: Separations for rehabilitation care, by separation mode, public and private hospitals, 2024–25</t>
  </si>
  <si>
    <t>•     Discharged home is equivalent to Discharge to usual residence/own accommodation/welfare institution (including prisons, hostels and group homes providing primarily welfare services) in the mode of separation definition.</t>
  </si>
  <si>
    <t>•     Funding source has been aggregated as follows:</t>
  </si>
  <si>
    <t xml:space="preserve">      - Public patients includes separations with a funding source of: </t>
  </si>
  <si>
    <t xml:space="preserve">Health service budget (including Health service budget due to Reciprocal health care agreements) </t>
  </si>
  <si>
    <t>Health service budget—no charge raised due to hospital decision (in public hospitals)</t>
  </si>
  <si>
    <t>Other hospital or public authority (with a Public patient election status)</t>
  </si>
  <si>
    <t xml:space="preserve">      - Other patients includes separations with a funding source of: </t>
  </si>
  <si>
    <t>Other compensation</t>
  </si>
  <si>
    <t>Department of Defence</t>
  </si>
  <si>
    <t>Correctional facilities</t>
  </si>
  <si>
    <t>Other hospital or public authority (without a Public patient election status)</t>
  </si>
  <si>
    <t>Other</t>
  </si>
  <si>
    <t>Health service budget—no charge raised due to hospital decision (in private hospitals)</t>
  </si>
  <si>
    <t>Not reported.</t>
  </si>
  <si>
    <t>Table 5.28: Separations for palliative care, by admission mode, public and private hospitals, 2024–25</t>
  </si>
  <si>
    <t>•     Separations for which the care type was reported as Palliative care.</t>
  </si>
  <si>
    <t>•     The most common principal diagnoses are based on the combined separations for public and private hospitals.</t>
  </si>
  <si>
    <t>•     Neoplasm-related refers to Malignant Neoplasms (ICD-10-AM [12th Edition] C00-C96)</t>
  </si>
  <si>
    <t>•     Funding source has been aggregated as specified for Table 5.27.</t>
  </si>
  <si>
    <t>Table 5.33: Separations for palliative care, by separation mode, public and private hospitals, 2024–25</t>
  </si>
  <si>
    <t>•     Separations for which the care type was reported as Mental health.</t>
  </si>
  <si>
    <t>•     The ICD-10-AM chapter Mental and behavioural disorders is further disaggregated into subchapters.</t>
  </si>
  <si>
    <t>•     ICD-10-AM chapters for which fewer than 100 separations were reported for Mental health care have been combined as Other ICD-10-AM chapters.</t>
  </si>
  <si>
    <t>•     Funding source has been aggregated as specified in Table 5.40.</t>
  </si>
  <si>
    <t>Table 5.41: Separations for mental health care, by separation mode, public and private hospitals, 2024–25</t>
  </si>
  <si>
    <t>Table 5.42: Separations, by mode of separation, public and private hospitals, states and territories, 2024–25</t>
  </si>
  <si>
    <t xml:space="preserve">•     This table uses AR-DRG Version 11.0. </t>
  </si>
  <si>
    <t>Table S5.4: Separations for the 20 most common AR-DRGs version 11.0 for same-day acute separations, public and private hospitals, 2024–25</t>
  </si>
  <si>
    <t>Table S5.5: Same-day acute separations, by Major Diagnostic Category, AR-DRG version 11.0, private hospitals, states and territories, 2024–25</t>
  </si>
  <si>
    <t>•     The numerator includes separations for which the number of hours of continuous ventilatory support (CVS) was reported.</t>
  </si>
  <si>
    <t>•     Remoteness of area of usual residence is based on the patient's area of residence (provided as Statistical Area level 2)</t>
  </si>
  <si>
    <t>•     Presentation rates are directly age-standardised using populations by remoteness areas, which do not include persons with unknown or migratory area of usual residence. Therefore, the total standardised rates in this table differ from national rates presented elsewhere in this report.</t>
  </si>
  <si>
    <t>•     Socioeconomic area of usual residence is based on the patient's area of residence (provided as Statistical Area level 2), aggregated into quintiles (20%) by population.</t>
  </si>
  <si>
    <t>•     Presentation rates are directly age-standardised using populations by socioeconomic groups, which do not include persons in areas for which the socioeconomic group could not be determined. Therefore, the total standardised rates in this table differ from national rates presented elsewhere in this report.</t>
  </si>
  <si>
    <t>Table S5.14: Separation statistics for rehabilitation care, by socioeconomic area of usual residence, public and private hospitals, 2024–25</t>
  </si>
  <si>
    <t xml:space="preserve">•     Same-day/overnight status, as described in specification 3. </t>
  </si>
  <si>
    <t>Table S5.26: Separations with hospital-in-the-home care, public and private hospitals, states and territories, 2023–24</t>
  </si>
  <si>
    <t>•     Separations that involved hospital-in-the-home care.</t>
  </si>
  <si>
    <t>Notes</t>
  </si>
  <si>
    <t>Appendix information with notes on definitions and data limitations is available to download at the link below:</t>
  </si>
  <si>
    <t>https://www.aihw.gov.au/hospitals/other-resources/about-the-data</t>
  </si>
  <si>
    <t>Contents</t>
  </si>
  <si>
    <t>Sector</t>
  </si>
  <si>
    <t>Broad category of service</t>
  </si>
  <si>
    <t>Service type</t>
  </si>
  <si>
    <t>2020–21</t>
  </si>
  <si>
    <t>2021–22</t>
  </si>
  <si>
    <t>2022–23</t>
  </si>
  <si>
    <t>2023–24</t>
  </si>
  <si>
    <t>2024–25</t>
  </si>
  <si>
    <t>Average annual change (%) over last five years</t>
  </si>
  <si>
    <t>Change (%) since last year</t>
  </si>
  <si>
    <t>Public hospitals</t>
  </si>
  <si>
    <t>Childbirth</t>
  </si>
  <si>
    <t>General intervention (surgical)</t>
  </si>
  <si>
    <t>Emergency</t>
  </si>
  <si>
    <t>Non-emergency</t>
  </si>
  <si>
    <t>Specific intervention (other)</t>
  </si>
  <si>
    <t>Mental health care</t>
  </si>
  <si>
    <t>Subacute and non-acute care</t>
  </si>
  <si>
    <t>Palliative care</t>
  </si>
  <si>
    <t>Other subacute and non-acute care</t>
  </si>
  <si>
    <t>Rehabilitation</t>
  </si>
  <si>
    <t>Total</t>
  </si>
  <si>
    <t>Medical total</t>
  </si>
  <si>
    <t>Private hospitals</t>
  </si>
  <si>
    <t>All hospitals</t>
  </si>
  <si>
    <t>Note: Appendix information with notes on definitions and data limitations is available to download at the link below:</t>
  </si>
  <si>
    <t>Back to contents</t>
  </si>
  <si>
    <t>Emergency status</t>
  </si>
  <si>
    <t>Measure</t>
  </si>
  <si>
    <t>Patient days</t>
  </si>
  <si>
    <t>Average length of stay</t>
  </si>
  <si>
    <t>General intervention (Surgical)</t>
  </si>
  <si>
    <t>Specific intervention (Other)</t>
  </si>
  <si>
    <t>Major Diagnostic Category</t>
  </si>
  <si>
    <t>PR – Pre-MDC (tracheostomies, transplants, ECMO)</t>
  </si>
  <si>
    <t>1 – Diseases and Disorders of the Nervous System</t>
  </si>
  <si>
    <t>2 – Diseases and Disorders of the Eye</t>
  </si>
  <si>
    <t>3 – Diseases and Disorders of the Ear, Nose, Mouth and Throat</t>
  </si>
  <si>
    <t>4 – Diseases and Disorders of the Respiratory System</t>
  </si>
  <si>
    <t>5 – Diseases and Disorders of the Circulatory System</t>
  </si>
  <si>
    <t>6 – Diseases and Disorders of the Digestive System</t>
  </si>
  <si>
    <t>7 – Diseases and Disorders of the Hepatobiliary System and Pancreas</t>
  </si>
  <si>
    <t>8 – Diseases and Disorders of the Musculoskeletal System and Connective Tissue</t>
  </si>
  <si>
    <t>9 – Diseases and Disorders of the Skin, Subcutaneous Tissue and Breast</t>
  </si>
  <si>
    <t>10 – Endocrine, Nutritional and Metabolic Diseases and Disorders</t>
  </si>
  <si>
    <t>11 – Diseases and Disorders of the Kidney and Urinary Tract</t>
  </si>
  <si>
    <t>12 – Diseases and Disorders of the Male Reproductive System</t>
  </si>
  <si>
    <t>13 – Diseases and Disorders of the Female Reproductive System</t>
  </si>
  <si>
    <t>14 – Pregnancy, Childbirth and the Puerperium</t>
  </si>
  <si>
    <t>15 – Newborns and Other Neonates</t>
  </si>
  <si>
    <t>16 – Diseases and Disorders of the Blood and Blood Forming Organs and Immunological Disorders</t>
  </si>
  <si>
    <t>17 – Neoplastic Disorders (Haematological and Solid Neoplasms)</t>
  </si>
  <si>
    <t>18 – Infectious and Parasitic Diseases</t>
  </si>
  <si>
    <t>19 – Mental Diseases and Disorders</t>
  </si>
  <si>
    <t>21A – Injuries, Poisoning and Toxic Effects of Drugs: Multiple Trauma</t>
  </si>
  <si>
    <t>21B – Injuries, Poisoning and Toxic Effects of Drugs</t>
  </si>
  <si>
    <t>22 – Burns</t>
  </si>
  <si>
    <t>23 – Factors Influencing Health Status and Other Contacts with Health Services</t>
  </si>
  <si>
    <t>ED – Error AR-DRGs</t>
  </si>
  <si>
    <t>20 – Alcohol /Drug Use and Alcohol /Drug Induced Organic Mental Disorder</t>
  </si>
  <si>
    <t>AR-DRG — Australian Refined Diagnosis Related Group; ECMO — extracorporeal membranous oxygenation.</t>
  </si>
  <si>
    <t>(a) An Error AR-DRG is assigned to hospital records that contain clinically atypical or invalid information.</t>
  </si>
  <si>
    <t>AR-DRG</t>
  </si>
  <si>
    <t>Private free-standing day facilities</t>
  </si>
  <si>
    <t>Other private hospitals</t>
  </si>
  <si>
    <t>L61Z – Haemodialysis</t>
  </si>
  <si>
    <t>R63Z – Pharmacotherapy for neoplastic disorders</t>
  </si>
  <si>
    <t>G48B – Colonoscopy, minor complexity</t>
  </si>
  <si>
    <t>C16Z – Lens interventions</t>
  </si>
  <si>
    <t>G46B – Complex endoscopy, minor complexity</t>
  </si>
  <si>
    <t>G47C – Gastroscopy, minor complexity</t>
  </si>
  <si>
    <t>Z40Z – Other contacts with health services with endoscopy</t>
  </si>
  <si>
    <t>D40Z – Dental extractions and restorations</t>
  </si>
  <si>
    <t>Z64B – Other factors influencing health status, minor complexity</t>
  </si>
  <si>
    <t>C03B – Retinal procedures, minor complexity</t>
  </si>
  <si>
    <t>J11B – Other skin, subcutaneous tissue and breast interventions, minor complexity</t>
  </si>
  <si>
    <t>N07B – Other uterus and adnexa interventions for non-malignancy, minor complexity</t>
  </si>
  <si>
    <t>I68B – Non-surgical spinal disorders, minor complexity</t>
  </si>
  <si>
    <t>O66C – Antenatal and other admissions related to pregnancy, childbirth and the puerperium, minor complexity</t>
  </si>
  <si>
    <t>G64Z – Inflammatory bowel disease</t>
  </si>
  <si>
    <t>F74B – Chest Pain, minor complexity</t>
  </si>
  <si>
    <t>L44B – Cystourethroscopy for urinary disorder, minor complexity</t>
  </si>
  <si>
    <t>Q61B – Red blood cell disorders, intermediate complexity</t>
  </si>
  <si>
    <t>J08C – Other skin grafts and debridement interventions, minor complexity</t>
  </si>
  <si>
    <t>N10Z – Diagnostic curettage and diagnostic hysteroscopy</t>
  </si>
  <si>
    <t>AR-DRG — Australian Refined Diagnosis Related Group.</t>
  </si>
  <si>
    <t>E62A – Respiratory infections and inflammations, major complexity</t>
  </si>
  <si>
    <t>O60B – Vaginal delivery, intermediate iomplexity</t>
  </si>
  <si>
    <t>I04B – Knee replacement, minor complexity</t>
  </si>
  <si>
    <t>O01C – Caesarean delivery, minor complexity</t>
  </si>
  <si>
    <t>J64B – Cellulitis, minor complexity</t>
  </si>
  <si>
    <t>E62B – Respiratory infections and inflammations, minor complexity</t>
  </si>
  <si>
    <t>O01B – Caesarean delivery, intermediate complexity</t>
  </si>
  <si>
    <t>H08B – Laparoscopic cholecystectomy, minor complexity</t>
  </si>
  <si>
    <t>O60C – Vaginal delivery, minor complexity</t>
  </si>
  <si>
    <t>I33B – Hip replacement for non-trauma, minor complexity</t>
  </si>
  <si>
    <t>G10B – Hernia procedures, minor complexity</t>
  </si>
  <si>
    <t>E63B – Sleep apnoea, minor complexity</t>
  </si>
  <si>
    <t>G70C – Other digestive system disorders, minor complexity</t>
  </si>
  <si>
    <t>F24B – Interventional coronary procedures, not admitted for AMI, minor complexity</t>
  </si>
  <si>
    <t>L63A – Kidney and urinary tract infections, major complexity</t>
  </si>
  <si>
    <t>G70B – Other digestive system disorders, intermediate complexity</t>
  </si>
  <si>
    <t>O60A – Vaginal delivery, major complexity</t>
  </si>
  <si>
    <t>L63B – Kidney and urinary tract infections, minor complexity</t>
  </si>
  <si>
    <t>G67A – Oesophagitis and gastroenteritis, major complexity</t>
  </si>
  <si>
    <t>Number of hospitals reporting separations involving level 3 ICU care</t>
  </si>
  <si>
    <t>Separations involving a stay in level 3 ICU</t>
  </si>
  <si>
    <t>Total hours in level 3 ICU</t>
  </si>
  <si>
    <t>Average duration of stay in level 3 ICU (hours)</t>
  </si>
  <si>
    <t>Separations that involved a stay in level 3 ICU per 1,000 separations</t>
  </si>
  <si>
    <t>(a) Approved level 3 adult ICU, NICU or an approved paediatric ICU.</t>
  </si>
  <si>
    <t>Number of hospitals reporting separations involving CVS</t>
  </si>
  <si>
    <t>Separations involving CVS</t>
  </si>
  <si>
    <t>Hours of CVS</t>
  </si>
  <si>
    <t>Average duration of CVS (hours)</t>
  </si>
  <si>
    <t>Separations that involved CVS per 1,000 separations</t>
  </si>
  <si>
    <t>CVS—Continuous ventilatory support.</t>
  </si>
  <si>
    <t>CVS status</t>
  </si>
  <si>
    <t>Separations that involved a stay in ICU</t>
  </si>
  <si>
    <t>Separations that did not involve a stay in ICU</t>
  </si>
  <si>
    <t>Separations that did not involve CVS</t>
  </si>
  <si>
    <t>Separations that involved CVS</t>
  </si>
  <si>
    <t>CVS—Continuous ventilatory support; ICU—Intensive care unit</t>
  </si>
  <si>
    <t>State or territory</t>
  </si>
  <si>
    <t>NSW</t>
  </si>
  <si>
    <t>Vic</t>
  </si>
  <si>
    <t>Qld</t>
  </si>
  <si>
    <t>WA</t>
  </si>
  <si>
    <t>SA</t>
  </si>
  <si>
    <t>Tas</t>
  </si>
  <si>
    <t>ACT</t>
  </si>
  <si>
    <t>NT</t>
  </si>
  <si>
    <t>(a) The reporting of newborns without qualified days is not compulsory in the Victorian private sector.</t>
  </si>
  <si>
    <t>Indigenous status</t>
  </si>
  <si>
    <t>First Nations people</t>
  </si>
  <si>
    <t>Separations</t>
  </si>
  <si>
    <t>Non-Indigenous Australians</t>
  </si>
  <si>
    <t>Indigenous status not reported</t>
  </si>
  <si>
    <t>. .</t>
  </si>
  <si>
    <t>Separations per 1,000 population</t>
  </si>
  <si>
    <t>Other Australians</t>
  </si>
  <si>
    <t>All Australians</t>
  </si>
  <si>
    <t>Proportion of all hospital separations (%)</t>
  </si>
  <si>
    <t>Principal diagnosis</t>
  </si>
  <si>
    <t>P07 – Disorders related to short gestation and low birth weight, not elsewhere classified</t>
  </si>
  <si>
    <t>P22 – Respiratory distress of newborn</t>
  </si>
  <si>
    <t>Z03 – Medical observation and evaluation for suspected diseases and conditions, ruled out</t>
  </si>
  <si>
    <t>P59 – Neonatal jaundice from other and unspecified causes</t>
  </si>
  <si>
    <t>P70 – Transitory disorders of carbohydrate metabolism specific to fetus and newborn</t>
  </si>
  <si>
    <t>P92 – Feeding problems of newborn</t>
  </si>
  <si>
    <t>P05 – Slow fetal growth and fetal malnutrition</t>
  </si>
  <si>
    <t>Z38 – Liveborn infants according to place of birth</t>
  </si>
  <si>
    <t>P28 – Other respiratory conditions originating in the perinatal period</t>
  </si>
  <si>
    <t>Z76 – Persons encountering health services in other circumstances</t>
  </si>
  <si>
    <t>P08 – Disorders related to long gestation and high birth weight</t>
  </si>
  <si>
    <t>P12 – Birth trauma to scalp</t>
  </si>
  <si>
    <t>P55 – Immune haemolytic disease of fetus and newborn</t>
  </si>
  <si>
    <t>P80 – Hypothermia of newborn</t>
  </si>
  <si>
    <t>P36 – Sepsis of newborn</t>
  </si>
  <si>
    <t>P29 – Cardiovascular disorders originating in the perinatal period</t>
  </si>
  <si>
    <t>R63 – Symptoms and signs concerning food and fluid intake</t>
  </si>
  <si>
    <t>P21 – Birth asphyxia</t>
  </si>
  <si>
    <t>P24 – Neonatal aspiration syndromes</t>
  </si>
  <si>
    <t>P91 – Other disturbances of cerebral status of newborn</t>
  </si>
  <si>
    <t>Q66 – Congenital deformities of feet</t>
  </si>
  <si>
    <t>Q38 – Other congenital malformations of tongue, mouth and pharynx</t>
  </si>
  <si>
    <t>P96 – Other conditions originating in the perinatal period</t>
  </si>
  <si>
    <t>P83 – Other conditions of integument specific to fetus and newborn</t>
  </si>
  <si>
    <t>P15 – Other birth trauma</t>
  </si>
  <si>
    <t>Intervention</t>
  </si>
  <si>
    <t>96199-02 (Intravenous administration of pharmacological agent, anti-infective agent)</t>
  </si>
  <si>
    <t>Interventions</t>
  </si>
  <si>
    <t>96199-19 (Intravenous administration of pharmacological agent, other and unspecified pharmacological agent)</t>
  </si>
  <si>
    <t>90677-00 (Other phototherapy, skin)</t>
  </si>
  <si>
    <t>96202-07 (Enteral administration of pharmacological agent, nutritional substance)</t>
  </si>
  <si>
    <t>92209-00 (Management of noninvasive ventilatory support, 24 hours or less)</t>
  </si>
  <si>
    <t>95550-01 (Allied health intervention, social work)</t>
  </si>
  <si>
    <t>95550-09 (Allied health intervention, pharmacy)</t>
  </si>
  <si>
    <t>95550-03 (Allied health intervention, physiotherapy)</t>
  </si>
  <si>
    <t>92209-01 (Management of noninvasive ventilatory support, more than 24 but less than 96 hours)</t>
  </si>
  <si>
    <t>92044-00 (Other oxygen enrichment)</t>
  </si>
  <si>
    <t>No procedure or not reported</t>
  </si>
  <si>
    <t>95550-06 (Allied health intervention, audiology)</t>
  </si>
  <si>
    <t>30278-02 (Lingual fraenotomy)</t>
  </si>
  <si>
    <t>30278-00 (Lingual fraenectomy)</t>
  </si>
  <si>
    <t>11300-00 (Brain stem evoked response audiometry)</t>
  </si>
  <si>
    <t>Separation mode</t>
  </si>
  <si>
    <t>Discharged home</t>
  </si>
  <si>
    <t>Discharge/transfer to an(other) acute hospital</t>
  </si>
  <si>
    <t>Discharge/transfer to other health care accommodation</t>
  </si>
  <si>
    <t>Statistical discharge - type change</t>
  </si>
  <si>
    <t>Left against medical advice/discharge at own risk</t>
  </si>
  <si>
    <t>Died</t>
  </si>
  <si>
    <t>(a) Discharged home is equivalent to discharge to usual residence (not including residential aged care), own accommodation/welfare institution (includes prisons, hostels and group homes providing primarily welfare services) in the mode of separation definition.</t>
  </si>
  <si>
    <t>(b) Total includes records where the mode of separation was not reported.</t>
  </si>
  <si>
    <t>Funding source</t>
  </si>
  <si>
    <t>Public patients</t>
  </si>
  <si>
    <t>Private health insurance</t>
  </si>
  <si>
    <t>Self-funded</t>
  </si>
  <si>
    <t>(a) Other includes separations with a funding source of Workers compensation, Motor vehicle third party personal claim, Other.</t>
  </si>
  <si>
    <t>(b) Total includes seperations for which funding source was not allocated.</t>
  </si>
  <si>
    <t>Age group (years)</t>
  </si>
  <si>
    <t>Males</t>
  </si>
  <si>
    <t>Females</t>
  </si>
  <si>
    <t>Persons</t>
  </si>
  <si>
    <t>0–4</t>
  </si>
  <si>
    <t>5–9</t>
  </si>
  <si>
    <t>10–14</t>
  </si>
  <si>
    <t>15–19</t>
  </si>
  <si>
    <t>20–24</t>
  </si>
  <si>
    <t>25–29</t>
  </si>
  <si>
    <t>30–34</t>
  </si>
  <si>
    <t>35–39</t>
  </si>
  <si>
    <t>40–44</t>
  </si>
  <si>
    <t>45–49</t>
  </si>
  <si>
    <t>50–54</t>
  </si>
  <si>
    <t>55–59</t>
  </si>
  <si>
    <t>60–64</t>
  </si>
  <si>
    <t>65–69</t>
  </si>
  <si>
    <t>70–74</t>
  </si>
  <si>
    <t>75–79</t>
  </si>
  <si>
    <t>80–84</t>
  </si>
  <si>
    <t>85–89</t>
  </si>
  <si>
    <t>90–94</t>
  </si>
  <si>
    <t>95+</t>
  </si>
  <si>
    <t>(a) The Total includes separations for which the age or sex of the patient was not reported.</t>
  </si>
  <si>
    <t>(a) Other Australians includes separations for which Indigenous status was not reported.</t>
  </si>
  <si>
    <t>Major cities</t>
  </si>
  <si>
    <t>Inner regional</t>
  </si>
  <si>
    <t>Outer regional</t>
  </si>
  <si>
    <t>Remote</t>
  </si>
  <si>
    <t>Very remote</t>
  </si>
  <si>
    <t>Separation rate ratio</t>
  </si>
  <si>
    <t>n.a.</t>
  </si>
  <si>
    <t>Admission mode</t>
  </si>
  <si>
    <t>New admission to hospital</t>
  </si>
  <si>
    <t>Admitted patient transfered from another hospital</t>
  </si>
  <si>
    <t>Statistical admission: care type change</t>
  </si>
  <si>
    <t>Not reported</t>
  </si>
  <si>
    <t>(a) New admission to hospital is equivalent to Other in the mode of admission definition. It refers to all planned and unplanned admissions except transfers from other hospitals and statistical admissions.</t>
  </si>
  <si>
    <t>Urgency of admission</t>
  </si>
  <si>
    <t>Elective</t>
  </si>
  <si>
    <t>Not assigned</t>
  </si>
  <si>
    <t>A00-B99 – Certain infectious and parasitic diseases</t>
  </si>
  <si>
    <t>C00-D48 – Neoplasms</t>
  </si>
  <si>
    <t>D50-D89 – Diseases of the blood and blood-forming organs and certain disorders involving the immune mechanism</t>
  </si>
  <si>
    <t>E00-E90 – Endocrine, nutritional and metabolic diseases</t>
  </si>
  <si>
    <t>F00-F99 – Mental and behavioural disorders</t>
  </si>
  <si>
    <t>G00-G99 – Diseases of the nervous system</t>
  </si>
  <si>
    <t>H00-H59 – Diseases of the eye and adnexa</t>
  </si>
  <si>
    <t>H60-H95 – Diseases of the ear and mastoid process</t>
  </si>
  <si>
    <t>I00-I99 – Diseases of the circulatory system</t>
  </si>
  <si>
    <t>J00-J99 – Diseases of the respiratory system</t>
  </si>
  <si>
    <t>K00-K93 – Diseases of the digestive system</t>
  </si>
  <si>
    <t>L00-L99 – Diseases of the skin and subcutaneous tissue</t>
  </si>
  <si>
    <t>M00-M99 – Diseases of the musculoskeletal system and connective tissue</t>
  </si>
  <si>
    <t>N00-N99 – Diseases of the genitourinary system</t>
  </si>
  <si>
    <t>O00-O99 – Pregnancy, childbirth and the puerperium</t>
  </si>
  <si>
    <t>Q00-Q99 – Congenital malformations, deformations and chromosomal abnormalities</t>
  </si>
  <si>
    <t>R00-R99 – Symptoms, signs and abnormal clinical and laboratory findings, not elsewhere classified</t>
  </si>
  <si>
    <t>S00-T98 – Injury, poisoning and certain other consequences of external causes</t>
  </si>
  <si>
    <t>Z00-Z99 – Factors influencing health status and contact with health services</t>
  </si>
  <si>
    <t>M17 – Gonarthrosis [arthrosis of knee]</t>
  </si>
  <si>
    <t>M16 – Coxarthrosis [arthrosis of hip]</t>
  </si>
  <si>
    <t>M62 – Other disorders of muscle</t>
  </si>
  <si>
    <t>S72 – Fracture of femur</t>
  </si>
  <si>
    <t>I63 – Cerebral infarction</t>
  </si>
  <si>
    <t>I25 – Chronic ischaemic heart disease</t>
  </si>
  <si>
    <t>M54 – Dorsalgia</t>
  </si>
  <si>
    <t>M25 – Other joint disorders, not elsewhere classified</t>
  </si>
  <si>
    <t>S82 – Fracture of lower leg, including ankle</t>
  </si>
  <si>
    <t>S32 – Fracture of lumbar spine and pelvis</t>
  </si>
  <si>
    <t>G20 – Parkinson's disease</t>
  </si>
  <si>
    <t>T84 – Complications of internal orthopaedic prosthetic devices, implants and grafts</t>
  </si>
  <si>
    <t>M48 – Other spondylopathies</t>
  </si>
  <si>
    <t>R26 – Abnormalities of gait and mobility</t>
  </si>
  <si>
    <t>M51 – Other intervertebral disc disorders</t>
  </si>
  <si>
    <t>S22 – Fracture of rib(s), sternum and thoracic spine</t>
  </si>
  <si>
    <t>M19 – Other arthrosis</t>
  </si>
  <si>
    <t>S42 – Fracture of shoulder and upper arm</t>
  </si>
  <si>
    <t>I61 – Intracerebral haemorrhage</t>
  </si>
  <si>
    <t>S06 – Intracranial injury</t>
  </si>
  <si>
    <t>95550-02 (Allied health intervention, occupational therapy)</t>
  </si>
  <si>
    <t>95550-15 (Allied health intervention, exercise physiologist)</t>
  </si>
  <si>
    <t>96153-00 (Hydrotherapy)</t>
  </si>
  <si>
    <t>95550-00 (Allied health intervention, dietetics)</t>
  </si>
  <si>
    <t>95550-05 (Allied health intervention, speech pathology)</t>
  </si>
  <si>
    <t>96130-00 (Skills training in activities related to body position/mobility/movement)</t>
  </si>
  <si>
    <t>95550-10 (Allied health intervention, psychology)</t>
  </si>
  <si>
    <t>Discharge/transfer to a residential aged care service, which is not the usual place of residence</t>
  </si>
  <si>
    <t>Discharge/transfer to a residential aged care service, which is the usual place of residence</t>
  </si>
  <si>
    <t>Discharge/transfer to an(other) psychiatric hospital</t>
  </si>
  <si>
    <t>Statistical discharge from leave</t>
  </si>
  <si>
    <t>Workers compensation</t>
  </si>
  <si>
    <t>Motor vehicle third party personal claim</t>
  </si>
  <si>
    <t>Department of Veteran's Affairs</t>
  </si>
  <si>
    <t>(a) Total includes seperations for which funding source was not allocated.</t>
  </si>
  <si>
    <t>C34 – Malignant neoplasm of bronchus and lung</t>
  </si>
  <si>
    <t>Separations (Neoplasm-related)</t>
  </si>
  <si>
    <t>C25 – Malignant neoplasm of pancreas</t>
  </si>
  <si>
    <t>C79 – Secondary malignant neoplasm of other and unspecified sites</t>
  </si>
  <si>
    <t>C78 – Secondary malignant neoplasm of respiratory and digestive organs</t>
  </si>
  <si>
    <t>C61 – Malignant neoplasm of prostate</t>
  </si>
  <si>
    <t>A41 – Other and unspecified sepsis</t>
  </si>
  <si>
    <t>Separations (Other diagnoses)</t>
  </si>
  <si>
    <t>J69 – Pneumonitis due to solids and liquids</t>
  </si>
  <si>
    <t>I50 – Heart failure</t>
  </si>
  <si>
    <t>J44 – Other chronic obstructive pulmonary disease</t>
  </si>
  <si>
    <t>Separations (Total)</t>
  </si>
  <si>
    <t>95550-12 (Allied health intervention, spiritual care)</t>
  </si>
  <si>
    <t>96027-00 (Prescribed/self-selected medication assessment)</t>
  </si>
  <si>
    <t>96187-00 (Spiritual support)</t>
  </si>
  <si>
    <t>(a) Numbers of interventions are counts of ACHI intervention codes. It is possible that a single intervention code may represent multiple interventions or that a specific intervention may require the reporting of more than one code. Therefore, the number of intervention codes reported does not precisely reflect the number of separate interventions performed.</t>
  </si>
  <si>
    <t>(a) Persons includes records for patients whose sex was not reported as male or female.</t>
  </si>
  <si>
    <t>(b) Total includes records for patients whose sex and or age was not reported.</t>
  </si>
  <si>
    <t>F00-F09 – Organic, including symptomatic, mental disorders</t>
  </si>
  <si>
    <t>F10-F19 – Mental and behavioural disorders due to psychoactive substance use</t>
  </si>
  <si>
    <t>F20-F29 – Schizophrenia, Schizotypal and delusional disorders</t>
  </si>
  <si>
    <t>F30-F39 – Mood [Affective] disorders</t>
  </si>
  <si>
    <t>F40-F48 – Neurotic, stress-relarted and somatoform disorders</t>
  </si>
  <si>
    <t>F50-F59 – Behavioural syndromes associated with physiological disturbances and physical factors</t>
  </si>
  <si>
    <t>F60-F69 – Disorders of adult personality and behaviour</t>
  </si>
  <si>
    <t>F70-F79 – Disorders of intellectual development</t>
  </si>
  <si>
    <t>F80-F89 – Disorders of psychological development</t>
  </si>
  <si>
    <t>G00-G99 – Inflammatory diseases of the central nervous system</t>
  </si>
  <si>
    <t>R00-R99 – Symptoms and signs involving the circulatory and respiratory systems</t>
  </si>
  <si>
    <t>Other ICD-10-AM chapters</t>
  </si>
  <si>
    <t>96101-00 (Cognitive or behavioural therapy)</t>
  </si>
  <si>
    <t>96001-00 (Psychological skills training)</t>
  </si>
  <si>
    <t>96181-00 (Art therapy)</t>
  </si>
  <si>
    <t>14224-04 (Electroconvulsive therapy [ECT], bilateral, not specified as ultrabrief)</t>
  </si>
  <si>
    <t>96239-00 (Psychoeducation)</t>
  </si>
  <si>
    <t>96180-00 (Other psychotherapies or psychosocial therapies)</t>
  </si>
  <si>
    <t>Admission status</t>
  </si>
  <si>
    <t>Same-day</t>
  </si>
  <si>
    <t>Average length of stay (patient days)</t>
  </si>
  <si>
    <t>Specialised psychiatric care days</t>
  </si>
  <si>
    <t>Average length of stay (specialised psychiatric care days)</t>
  </si>
  <si>
    <t>Overnight</t>
  </si>
  <si>
    <t>All separations</t>
  </si>
  <si>
    <t>General intervention (Surgical): Emergency</t>
  </si>
  <si>
    <t>General intervention (Surgical): Non-emergency</t>
  </si>
  <si>
    <t>Specific intervention (Other): Emergency</t>
  </si>
  <si>
    <t>Specific intervention (Other): Non-emergency</t>
  </si>
  <si>
    <t>Medical (Emergency)</t>
  </si>
  <si>
    <t>Medical (Non-emergency)</t>
  </si>
  <si>
    <t>Service</t>
  </si>
  <si>
    <t>(a) Includes Acute care separations only and therefore the sum of tables S5.2 and S5.3 do not equal the total in Table S5.1.</t>
  </si>
  <si>
    <t>General intervention (surgical): Emergency</t>
  </si>
  <si>
    <t>General intervention (surgical): Non-emergency</t>
  </si>
  <si>
    <t>Specific intervention (other): Emergency</t>
  </si>
  <si>
    <t>Specific intervention (other): Non-emergency</t>
  </si>
  <si>
    <t>Medical (emergency)</t>
  </si>
  <si>
    <t>Medical (non-emergency)</t>
  </si>
  <si>
    <t>AR-DRG—Australian Refined Diagnosis Related Group; ECMO—extracorporeal membranous oxygenation..</t>
  </si>
  <si>
    <t>(a) An Error DRG is assigned to hospital records that contain clinically atypical or invalid information.</t>
  </si>
  <si>
    <t>AR-DRG—Australian Refined Diagnosis Related Group; ECMO—extracorporeal membranous oxygenation.</t>
  </si>
  <si>
    <t>Number of hospitals reporting separations involving a stay in level 3 ICU</t>
  </si>
  <si>
    <t>Hours in level 3 ICU</t>
  </si>
  <si>
    <t>Total hours in other levels of ICU</t>
  </si>
  <si>
    <t>Total ICU hours</t>
  </si>
  <si>
    <t>ICU—Intensive care unit</t>
  </si>
  <si>
    <t>(b) For separations where hours are reported in an approved level 3 adult ICU, NICU or an approved paediatric ICU.</t>
  </si>
  <si>
    <t>(c) The total separations may not equal the sum of all separations involving a stay in ICU as a separation may include care in a Level 3 and an other level of ICU. Separations are counted once if intensive care hours are recorded for any level of ICU.</t>
  </si>
  <si>
    <t>Care type</t>
  </si>
  <si>
    <t>Newborn with at least one qualified day</t>
  </si>
  <si>
    <t>Newborn without qualified days</t>
  </si>
  <si>
    <t>Total newborn separations</t>
  </si>
  <si>
    <t>(a) Total includes separations for which the remoteness of area of usual residence could not be categorised.</t>
  </si>
  <si>
    <t>1 (Lowest)</t>
  </si>
  <si>
    <t>2</t>
  </si>
  <si>
    <t>3</t>
  </si>
  <si>
    <t>4</t>
  </si>
  <si>
    <t>5 (Highest)</t>
  </si>
  <si>
    <t>(a) Total includes separations for which the socioeconomic area of usual residence could not be categorised.</t>
  </si>
  <si>
    <t>(A) Total includes separations for which the socioeconomic area of usual residence could not be categorised.</t>
  </si>
  <si>
    <t>Diagnosis</t>
  </si>
  <si>
    <t>Care type and/or diagnosis</t>
  </si>
  <si>
    <t>(a) Data for Tasmania, the Australian Capital Territory and the Northern Territory are for public hospitals only.</t>
  </si>
  <si>
    <t>(b) Other Australians includes separations for which Indigenous status was not reported.</t>
  </si>
  <si>
    <t>(a) Total includes separations for which the remoteness area could not be categorised.</t>
  </si>
  <si>
    <t>(a) Total includes separations for which the socioeconomic group could not be categorised.</t>
  </si>
  <si>
    <t>Mode of separation</t>
  </si>
  <si>
    <t>(a) Discharged home is equivalent to Discharge to usual residence/own accommodation/welfare institution (including prisons, hostels and group homes providing primarily welfare services) in the mode of separation definition.</t>
  </si>
  <si>
    <t>Admission type</t>
  </si>
  <si>
    <t>Total patient days</t>
  </si>
  <si>
    <t>Average number of hospital-in-the-home days</t>
  </si>
  <si>
    <t>Hospital-in-the-home days</t>
  </si>
  <si>
    <t>(a) Patient days reported for separations that involved hospital-in-the-home care.</t>
  </si>
  <si>
    <t>Separations involving a stay in other levels of ICU</t>
  </si>
  <si>
    <t>Total separations involving a stay in any ICU</t>
  </si>
  <si>
    <t xml:space="preserve">•     Patient days are derived from the reported admission and separations dates, excluding any leave days. For the majority of tables, the calculation excludes unqualified days for Newborns. </t>
  </si>
  <si>
    <t>•     It should be noted that there are not similar confidentiality concerns about the Tasmanian private hospital data (in aggregate) and the Tasmanian Department of Health would support the release of their private hospital information.</t>
  </si>
  <si>
    <t>•     To preserve commercial confidentiality for the private hospitals in the Northern Territory, the data for private hospitals in Tasmania and the Northern Territory have been suppressed. As a result, any comparisons of private hospital activity by jurisdiction in the text do not include data for Tasmania and the Northern Territory.</t>
  </si>
  <si>
    <t>n.p.</t>
  </si>
  <si>
    <t>•     Data for ACT public hospitals for 2024–25 was not available at the time of publication.</t>
  </si>
  <si>
    <t xml:space="preserve">•     From 2024–25, the ACT has amended the calculation of key length of stay measures including Qualified Days, Psych Days, Leave Days and HITH days from the digital health record. This change limits comparability of these measures with previous years.
</t>
  </si>
  <si>
    <t>•     From 2024–25, the ACT amended funding, insurance and eligibility mappings, substantially reducing records coded as ‘Unknown’ and reallocating contracted care. Resulting changes reflect improvements in mapping rather than real changes in patient funding patterns.</t>
  </si>
  <si>
    <t>Table S5.6: Overnight acute separations, by Major Diagnostic Category AR-DRG version 11.0, public hospitals, states and territories,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</si>
</sst>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33" x14ac:knownFonts="1">
    <font>
      <sz val="11"/>
      <color theme="1"/>
      <name val="Calibri"/>
      <family val="2"/>
      <scheme val="minor"/>
    </font>
    <font>
      <sz val="10"/>
      <color indexed="8"/>
      <name val="Arial"/>
      <family val="2"/>
    </font>
    <font>
      <sz val="11"/>
      <color theme="1"/>
      <name val="Calibri"/>
      <family val="2"/>
      <scheme val="minor"/>
    </font>
    <font>
      <u/>
      <sz val="11"/>
      <color theme="10"/>
      <name val="Calibri"/>
      <family val="2"/>
      <scheme val="minor"/>
    </font>
    <font>
      <b/>
      <sz val="11"/>
      <color theme="1"/>
      <name val="Calibri"/>
      <family val="2"/>
      <scheme val="minor"/>
    </font>
    <font>
      <b/>
      <i/>
      <sz val="12"/>
      <color theme="1"/>
      <name val="Arial"/>
      <family val="2"/>
    </font>
    <font>
      <b/>
      <sz val="12"/>
      <color theme="1"/>
      <name val="Arial"/>
      <family val="2"/>
    </font>
    <font>
      <b/>
      <sz val="10"/>
      <color theme="1"/>
      <name val="Arial"/>
      <family val="2"/>
    </font>
    <font>
      <sz val="11"/>
      <color theme="1"/>
      <name val="Arial"/>
      <family val="2"/>
    </font>
    <font>
      <b/>
      <sz val="16"/>
      <color theme="1"/>
      <name val="Arial"/>
      <family val="2"/>
    </font>
    <font>
      <b/>
      <sz val="14"/>
      <color theme="1"/>
      <name val="Arial"/>
      <family val="2"/>
    </font>
    <font>
      <sz val="10"/>
      <color theme="1"/>
      <name val="Arial"/>
      <family val="2"/>
    </font>
    <font>
      <sz val="11"/>
      <color theme="1"/>
      <name val="Book Antiqua"/>
      <family val="1"/>
    </font>
    <font>
      <i/>
      <sz val="11"/>
      <color theme="1"/>
      <name val="Calibri"/>
      <family val="2"/>
      <scheme val="minor"/>
    </font>
    <font>
      <i/>
      <sz val="10"/>
      <color theme="1"/>
      <name val="Arial"/>
      <family val="2"/>
    </font>
    <font>
      <b/>
      <sz val="11"/>
      <color rgb="FF000000"/>
      <name val="Calibri"/>
      <family val="2"/>
      <scheme val="minor"/>
    </font>
    <font>
      <sz val="10"/>
      <color rgb="FF000000"/>
      <name val="Arial"/>
      <family val="2"/>
    </font>
    <font>
      <sz val="10"/>
      <color theme="1"/>
      <name val="Calibri"/>
      <family val="2"/>
      <scheme val="minor"/>
    </font>
    <font>
      <u/>
      <sz val="10"/>
      <color theme="10"/>
      <name val="Arial"/>
      <family val="2"/>
    </font>
    <font>
      <b/>
      <sz val="11"/>
      <color theme="1"/>
      <name val="Arial"/>
      <family val="2"/>
    </font>
    <font>
      <sz val="12"/>
      <color theme="1"/>
      <name val="Calibri"/>
      <family val="2"/>
      <scheme val="minor"/>
    </font>
    <font>
      <u/>
      <sz val="12"/>
      <color theme="10"/>
      <name val="Calibri"/>
      <family val="2"/>
      <scheme val="minor"/>
    </font>
    <font>
      <sz val="10"/>
      <name val="Arial"/>
      <family val="2"/>
    </font>
    <font>
      <u/>
      <sz val="10"/>
      <color theme="10"/>
      <name val="Calibri"/>
      <family val="2"/>
      <scheme val="minor"/>
    </font>
    <font>
      <b/>
      <sz val="10"/>
      <name val="Arial"/>
      <family val="2"/>
    </font>
    <font>
      <b/>
      <sz val="8"/>
      <name val="Arial"/>
      <family val="2"/>
    </font>
    <font>
      <sz val="8"/>
      <name val="Arial"/>
      <family val="2"/>
    </font>
    <font>
      <i/>
      <sz val="8"/>
      <name val="Arial"/>
      <family val="2"/>
    </font>
    <font>
      <sz val="7"/>
      <name val="Arial"/>
      <family val="2"/>
    </font>
    <font>
      <u/>
      <sz val="11"/>
      <color rgb="FF0563C1"/>
      <name val="Calibri"/>
      <family val="2"/>
    </font>
    <font>
      <i/>
      <sz val="8"/>
      <name val="Arial"/>
      <family val="2"/>
    </font>
    <font>
      <sz val="8"/>
      <name val="Arial"/>
      <family val="2"/>
    </font>
    <font>
      <b/>
      <sz val="8"/>
      <name val="Arial"/>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FF"/>
        <bgColor rgb="FFFFFFFF"/>
      </patternFill>
    </fill>
  </fills>
  <borders count="8">
    <border>
      <left/>
      <right/>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rgb="FF000000"/>
      </top>
      <bottom style="medium">
        <color rgb="FF000000"/>
      </bottom>
      <diagonal/>
    </border>
    <border>
      <left/>
      <right/>
      <top/>
      <bottom style="medium">
        <color rgb="FF000000"/>
      </bottom>
      <diagonal/>
    </border>
    <border>
      <left/>
      <right/>
      <top/>
      <bottom style="medium">
        <color indexed="64"/>
      </bottom>
      <diagonal/>
    </border>
  </borders>
  <cellStyleXfs count="5">
    <xf numFmtId="0" fontId="0" fillId="0" borderId="0"/>
    <xf numFmtId="43" fontId="2" fillId="0" borderId="0"/>
    <xf numFmtId="43" fontId="2" fillId="0" borderId="0"/>
    <xf numFmtId="0" fontId="3" fillId="0" borderId="0"/>
    <xf numFmtId="0" fontId="3" fillId="0" borderId="0"/>
  </cellStyleXfs>
  <cellXfs count="81">
    <xf numFmtId="0" fontId="0" fillId="0" borderId="0" xfId="0"/>
    <xf numFmtId="0" fontId="0" fillId="3" borderId="0" xfId="0" applyFill="1"/>
    <xf numFmtId="0" fontId="5" fillId="3" borderId="1" xfId="0" applyFont="1" applyFill="1" applyBorder="1"/>
    <xf numFmtId="0" fontId="6" fillId="3" borderId="1" xfId="0" applyFont="1" applyFill="1" applyBorder="1"/>
    <xf numFmtId="0" fontId="7" fillId="3" borderId="0" xfId="0" applyFont="1" applyFill="1"/>
    <xf numFmtId="0" fontId="7" fillId="3" borderId="0" xfId="0" applyFont="1" applyFill="1" applyAlignment="1">
      <alignment vertical="center"/>
    </xf>
    <xf numFmtId="0" fontId="8" fillId="3" borderId="0" xfId="0" applyFont="1" applyFill="1"/>
    <xf numFmtId="0" fontId="4" fillId="3" borderId="0" xfId="0" applyFont="1" applyFill="1"/>
    <xf numFmtId="0" fontId="9" fillId="3" borderId="0" xfId="0" applyFont="1" applyFill="1"/>
    <xf numFmtId="0" fontId="10" fillId="3" borderId="0" xfId="0" applyFont="1" applyFill="1"/>
    <xf numFmtId="0" fontId="6" fillId="3" borderId="0" xfId="0" applyFont="1" applyFill="1"/>
    <xf numFmtId="0" fontId="11" fillId="3" borderId="0" xfId="0" applyFont="1" applyFill="1"/>
    <xf numFmtId="0" fontId="8" fillId="3" borderId="0" xfId="0" applyFont="1" applyFill="1" applyAlignment="1">
      <alignment vertical="center"/>
    </xf>
    <xf numFmtId="0" fontId="11" fillId="3" borderId="0" xfId="0" applyFont="1" applyFill="1" applyAlignment="1">
      <alignment vertical="center"/>
    </xf>
    <xf numFmtId="0" fontId="12" fillId="3" borderId="0" xfId="0" applyFont="1" applyFill="1"/>
    <xf numFmtId="0" fontId="13" fillId="3" borderId="0" xfId="0" applyFont="1" applyFill="1"/>
    <xf numFmtId="0" fontId="14" fillId="3" borderId="0" xfId="0" applyFont="1" applyFill="1"/>
    <xf numFmtId="0" fontId="11" fillId="3" borderId="0" xfId="0" applyFont="1" applyFill="1" applyAlignment="1">
      <alignment horizontal="left" vertical="center"/>
    </xf>
    <xf numFmtId="0" fontId="15" fillId="3" borderId="0" xfId="0" applyFont="1" applyFill="1"/>
    <xf numFmtId="0" fontId="16" fillId="2" borderId="0" xfId="0" applyFont="1" applyFill="1" applyAlignment="1">
      <alignment vertical="center"/>
    </xf>
    <xf numFmtId="0" fontId="17" fillId="3" borderId="0" xfId="0" applyFont="1" applyFill="1"/>
    <xf numFmtId="0" fontId="19" fillId="3" borderId="0" xfId="0" applyFont="1" applyFill="1" applyAlignment="1">
      <alignment vertical="center"/>
    </xf>
    <xf numFmtId="0" fontId="20" fillId="3" borderId="2" xfId="0" applyFont="1" applyFill="1" applyBorder="1"/>
    <xf numFmtId="0" fontId="21" fillId="3" borderId="1" xfId="3" applyFont="1" applyFill="1" applyBorder="1"/>
    <xf numFmtId="0" fontId="20" fillId="3" borderId="1" xfId="0" applyFont="1" applyFill="1" applyBorder="1"/>
    <xf numFmtId="0" fontId="21" fillId="3" borderId="3" xfId="3" applyFont="1" applyFill="1" applyBorder="1"/>
    <xf numFmtId="0" fontId="20" fillId="3" borderId="0" xfId="0" applyFont="1" applyFill="1"/>
    <xf numFmtId="0" fontId="8" fillId="3" borderId="0" xfId="0" applyFont="1" applyFill="1" applyAlignment="1">
      <alignment wrapText="1"/>
    </xf>
    <xf numFmtId="0" fontId="22" fillId="3" borderId="0" xfId="0" applyFont="1" applyFill="1"/>
    <xf numFmtId="0" fontId="1" fillId="3" borderId="0" xfId="0" applyFont="1" applyFill="1" applyAlignment="1">
      <alignment horizontal="left" vertical="center"/>
    </xf>
    <xf numFmtId="0" fontId="23" fillId="2" borderId="0" xfId="4" applyFont="1" applyFill="1" applyAlignment="1">
      <alignment vertical="center"/>
    </xf>
    <xf numFmtId="0" fontId="18" fillId="3" borderId="0" xfId="4" applyFont="1" applyFill="1"/>
    <xf numFmtId="0" fontId="3" fillId="0" borderId="4" xfId="3" applyBorder="1"/>
    <xf numFmtId="0" fontId="26" fillId="4" borderId="0" xfId="0" applyFont="1" applyFill="1"/>
    <xf numFmtId="0" fontId="25" fillId="4" borderId="5" xfId="0" applyFont="1" applyFill="1" applyBorder="1" applyAlignment="1">
      <alignment horizontal="left"/>
    </xf>
    <xf numFmtId="0" fontId="25" fillId="4" borderId="5" xfId="0" applyFont="1" applyFill="1" applyBorder="1" applyAlignment="1">
      <alignment horizontal="right" wrapText="1"/>
    </xf>
    <xf numFmtId="0" fontId="26" fillId="4" borderId="0" xfId="0" applyFont="1" applyFill="1" applyAlignment="1">
      <alignment horizontal="left"/>
    </xf>
    <xf numFmtId="3" fontId="26" fillId="4" borderId="0" xfId="0" applyNumberFormat="1" applyFont="1" applyFill="1" applyAlignment="1">
      <alignment horizontal="right" wrapText="1"/>
    </xf>
    <xf numFmtId="164" fontId="26" fillId="4" borderId="0" xfId="0" applyNumberFormat="1" applyFont="1" applyFill="1" applyAlignment="1">
      <alignment horizontal="right" wrapText="1"/>
    </xf>
    <xf numFmtId="0" fontId="27" fillId="4" borderId="0" xfId="0" applyFont="1" applyFill="1" applyAlignment="1">
      <alignment horizontal="left"/>
    </xf>
    <xf numFmtId="3" fontId="27" fillId="4" borderId="0" xfId="0" applyNumberFormat="1" applyFont="1" applyFill="1" applyAlignment="1">
      <alignment horizontal="right" wrapText="1"/>
    </xf>
    <xf numFmtId="164" fontId="27" fillId="4" borderId="0" xfId="0" applyNumberFormat="1" applyFont="1" applyFill="1" applyAlignment="1">
      <alignment horizontal="right" wrapText="1"/>
    </xf>
    <xf numFmtId="0" fontId="25" fillId="4" borderId="6" xfId="0" applyFont="1" applyFill="1" applyBorder="1" applyAlignment="1">
      <alignment horizontal="left"/>
    </xf>
    <xf numFmtId="3" fontId="25" fillId="4" borderId="6" xfId="0" applyNumberFormat="1" applyFont="1" applyFill="1" applyBorder="1" applyAlignment="1">
      <alignment horizontal="right" wrapText="1"/>
    </xf>
    <xf numFmtId="164" fontId="25" fillId="4" borderId="6" xfId="0" applyNumberFormat="1" applyFont="1" applyFill="1" applyBorder="1" applyAlignment="1">
      <alignment horizontal="right" wrapText="1"/>
    </xf>
    <xf numFmtId="0" fontId="28" fillId="4" borderId="0" xfId="0" applyFont="1" applyFill="1"/>
    <xf numFmtId="0" fontId="29" fillId="4" borderId="0" xfId="0" applyFont="1" applyFill="1"/>
    <xf numFmtId="0" fontId="25" fillId="4" borderId="0" xfId="0" applyFont="1" applyFill="1" applyAlignment="1">
      <alignment horizontal="left"/>
    </xf>
    <xf numFmtId="3" fontId="25" fillId="4" borderId="0" xfId="0" applyNumberFormat="1" applyFont="1" applyFill="1" applyAlignment="1">
      <alignment horizontal="right" wrapText="1"/>
    </xf>
    <xf numFmtId="164" fontId="25" fillId="4" borderId="0" xfId="0" applyNumberFormat="1" applyFont="1" applyFill="1" applyAlignment="1">
      <alignment horizontal="right" wrapText="1"/>
    </xf>
    <xf numFmtId="0" fontId="27" fillId="4" borderId="6" xfId="0" applyFont="1" applyFill="1" applyBorder="1" applyAlignment="1">
      <alignment horizontal="left"/>
    </xf>
    <xf numFmtId="164" fontId="27" fillId="4" borderId="6" xfId="0" applyNumberFormat="1" applyFont="1" applyFill="1" applyBorder="1" applyAlignment="1">
      <alignment horizontal="right" wrapText="1"/>
    </xf>
    <xf numFmtId="0" fontId="26" fillId="4" borderId="6" xfId="0" applyFont="1" applyFill="1" applyBorder="1" applyAlignment="1">
      <alignment horizontal="left"/>
    </xf>
    <xf numFmtId="3" fontId="26" fillId="4" borderId="6" xfId="0" applyNumberFormat="1" applyFont="1" applyFill="1" applyBorder="1" applyAlignment="1">
      <alignment horizontal="right" wrapText="1"/>
    </xf>
    <xf numFmtId="164" fontId="26" fillId="4" borderId="6" xfId="0" applyNumberFormat="1" applyFont="1" applyFill="1" applyBorder="1" applyAlignment="1">
      <alignment horizontal="right" wrapText="1"/>
    </xf>
    <xf numFmtId="3" fontId="27" fillId="4" borderId="6" xfId="0" applyNumberFormat="1" applyFont="1" applyFill="1" applyBorder="1" applyAlignment="1">
      <alignment horizontal="right" wrapText="1"/>
    </xf>
    <xf numFmtId="3" fontId="30" fillId="4" borderId="0" xfId="0" applyNumberFormat="1" applyFont="1" applyFill="1" applyAlignment="1">
      <alignment horizontal="right" wrapText="1"/>
    </xf>
    <xf numFmtId="164" fontId="30" fillId="4" borderId="0" xfId="0" applyNumberFormat="1" applyFont="1" applyFill="1" applyAlignment="1">
      <alignment horizontal="right" wrapText="1"/>
    </xf>
    <xf numFmtId="164" fontId="31" fillId="4" borderId="0" xfId="0" applyNumberFormat="1" applyFont="1" applyFill="1" applyAlignment="1">
      <alignment horizontal="right" wrapText="1"/>
    </xf>
    <xf numFmtId="164" fontId="31" fillId="4" borderId="6" xfId="0" applyNumberFormat="1" applyFont="1" applyFill="1" applyBorder="1" applyAlignment="1">
      <alignment horizontal="right" wrapText="1"/>
    </xf>
    <xf numFmtId="164" fontId="26" fillId="4" borderId="7" xfId="0" applyNumberFormat="1" applyFont="1" applyFill="1" applyBorder="1" applyAlignment="1">
      <alignment horizontal="right" wrapText="1"/>
    </xf>
    <xf numFmtId="0" fontId="31" fillId="4" borderId="0" xfId="0" applyFont="1" applyFill="1" applyAlignment="1">
      <alignment horizontal="left"/>
    </xf>
    <xf numFmtId="164" fontId="32" fillId="4" borderId="0" xfId="0" applyNumberFormat="1" applyFont="1" applyFill="1" applyAlignment="1">
      <alignment horizontal="right" wrapText="1"/>
    </xf>
    <xf numFmtId="164" fontId="32" fillId="4" borderId="7" xfId="0" applyNumberFormat="1" applyFont="1" applyFill="1" applyBorder="1" applyAlignment="1">
      <alignment horizontal="right" wrapText="1"/>
    </xf>
    <xf numFmtId="0" fontId="32" fillId="4" borderId="5" xfId="0" applyFont="1" applyFill="1" applyBorder="1" applyAlignment="1">
      <alignment horizontal="right" wrapText="1"/>
    </xf>
    <xf numFmtId="3" fontId="31" fillId="4" borderId="0" xfId="0" applyNumberFormat="1" applyFont="1" applyFill="1" applyAlignment="1">
      <alignment horizontal="right" wrapText="1"/>
    </xf>
    <xf numFmtId="3" fontId="31" fillId="4" borderId="7" xfId="0" applyNumberFormat="1" applyFont="1" applyFill="1" applyBorder="1" applyAlignment="1">
      <alignment horizontal="right" wrapText="1"/>
    </xf>
    <xf numFmtId="0" fontId="25" fillId="4" borderId="7" xfId="0" applyFont="1" applyFill="1" applyBorder="1" applyAlignment="1">
      <alignment horizontal="left"/>
    </xf>
    <xf numFmtId="3" fontId="25" fillId="4" borderId="7" xfId="0" applyNumberFormat="1" applyFont="1" applyFill="1" applyBorder="1" applyAlignment="1">
      <alignment horizontal="right" wrapText="1"/>
    </xf>
    <xf numFmtId="3" fontId="32" fillId="4" borderId="7" xfId="0" applyNumberFormat="1" applyFont="1" applyFill="1" applyBorder="1" applyAlignment="1">
      <alignment horizontal="right" wrapText="1"/>
    </xf>
    <xf numFmtId="0" fontId="0" fillId="0" borderId="7" xfId="0" applyBorder="1"/>
    <xf numFmtId="164" fontId="30" fillId="4" borderId="7" xfId="0" applyNumberFormat="1" applyFont="1" applyFill="1" applyBorder="1" applyAlignment="1">
      <alignment horizontal="right" wrapText="1"/>
    </xf>
    <xf numFmtId="164" fontId="31" fillId="4" borderId="7" xfId="0" applyNumberFormat="1" applyFont="1" applyFill="1" applyBorder="1" applyAlignment="1">
      <alignment horizontal="right" wrapText="1"/>
    </xf>
    <xf numFmtId="3" fontId="31" fillId="4" borderId="6" xfId="0" applyNumberFormat="1" applyFont="1" applyFill="1" applyBorder="1" applyAlignment="1">
      <alignment horizontal="right" wrapText="1"/>
    </xf>
    <xf numFmtId="0" fontId="24" fillId="4" borderId="0" xfId="0" applyFont="1" applyFill="1" applyAlignment="1">
      <alignment vertical="center" wrapText="1"/>
    </xf>
    <xf numFmtId="0" fontId="26" fillId="4" borderId="0" xfId="0" applyFont="1" applyFill="1"/>
    <xf numFmtId="0" fontId="28" fillId="4" borderId="0" xfId="0" applyFont="1" applyFill="1" applyAlignment="1">
      <alignment vertical="top" wrapText="1"/>
    </xf>
    <xf numFmtId="0" fontId="0" fillId="0" borderId="0" xfId="0"/>
    <xf numFmtId="0" fontId="7" fillId="3" borderId="0" xfId="0" applyFont="1" applyFill="1" applyAlignment="1">
      <alignment vertical="center" wrapText="1"/>
    </xf>
    <xf numFmtId="0" fontId="0" fillId="3" borderId="0" xfId="0" applyFill="1"/>
    <xf numFmtId="0" fontId="7" fillId="3" borderId="0" xfId="0" applyFont="1" applyFill="1" applyAlignment="1">
      <alignment horizontal="left" wrapText="1"/>
    </xf>
  </cellXfs>
  <cellStyles count="5">
    <cellStyle name="Comma 2" xfId="1" xr:uid="{00000000-0005-0000-0000-000001000000}"/>
    <cellStyle name="Comma 3" xfId="2" xr:uid="{00000000-0005-0000-0000-000002000000}"/>
    <cellStyle name="Hyperlink" xfId="3" builtinId="8"/>
    <cellStyle name="Hyperlink 2" xfId="4" xr:uid="{00000000-0005-0000-0000-000004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6350</xdr:colOff>
      <xdr:row>1</xdr:row>
      <xdr:rowOff>19050</xdr:rowOff>
    </xdr:from>
    <xdr:to>
      <xdr:col>1</xdr:col>
      <xdr:colOff>3406351</xdr:colOff>
      <xdr:row>4</xdr:row>
      <xdr:rowOff>117386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34950" y="215900"/>
          <a:ext cx="3400001" cy="688886"/>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6:B147"/>
  <sheetViews>
    <sheetView tabSelected="1" zoomScaleNormal="100" workbookViewId="0"/>
  </sheetViews>
  <sheetFormatPr defaultColWidth="8.85546875" defaultRowHeight="15.75" x14ac:dyDescent="0.25"/>
  <cols>
    <col min="1" max="1" width="3.28515625" style="1" customWidth="1"/>
    <col min="2" max="2" width="196.42578125" style="26" customWidth="1"/>
    <col min="3" max="3" width="8.85546875" style="1" customWidth="1"/>
    <col min="4" max="16384" width="8.85546875" style="1"/>
  </cols>
  <sheetData>
    <row r="6" spans="2:2" x14ac:dyDescent="0.25">
      <c r="B6" s="22"/>
    </row>
    <row r="7" spans="2:2" ht="18" customHeight="1" x14ac:dyDescent="0.25">
      <c r="B7" s="2" t="s">
        <v>0</v>
      </c>
    </row>
    <row r="8" spans="2:2" ht="18" customHeight="1" x14ac:dyDescent="0.25">
      <c r="B8" s="3" t="s">
        <v>1</v>
      </c>
    </row>
    <row r="9" spans="2:2" ht="15" customHeight="1" x14ac:dyDescent="0.25">
      <c r="B9" s="23"/>
    </row>
    <row r="10" spans="2:2" ht="15" customHeight="1" x14ac:dyDescent="0.25">
      <c r="B10" s="32" t="s">
        <v>2</v>
      </c>
    </row>
    <row r="11" spans="2:2" ht="15" customHeight="1" x14ac:dyDescent="0.25">
      <c r="B11" s="24"/>
    </row>
    <row r="12" spans="2:2" ht="15" customHeight="1" x14ac:dyDescent="0.25">
      <c r="B12" s="32" t="s">
        <v>3</v>
      </c>
    </row>
    <row r="13" spans="2:2" ht="15" customHeight="1" x14ac:dyDescent="0.25">
      <c r="B13" s="24"/>
    </row>
    <row r="14" spans="2:2" ht="15" customHeight="1" x14ac:dyDescent="0.25">
      <c r="B14" s="32" t="s">
        <v>4</v>
      </c>
    </row>
    <row r="15" spans="2:2" ht="15" customHeight="1" x14ac:dyDescent="0.25">
      <c r="B15" s="24"/>
    </row>
    <row r="16" spans="2:2" ht="15" customHeight="1" x14ac:dyDescent="0.25">
      <c r="B16" s="32" t="s">
        <v>5</v>
      </c>
    </row>
    <row r="17" spans="2:2" ht="15" customHeight="1" x14ac:dyDescent="0.25">
      <c r="B17" s="24"/>
    </row>
    <row r="18" spans="2:2" ht="15" customHeight="1" x14ac:dyDescent="0.25">
      <c r="B18" s="32" t="s">
        <v>6</v>
      </c>
    </row>
    <row r="19" spans="2:2" ht="15" customHeight="1" x14ac:dyDescent="0.25">
      <c r="B19" s="24"/>
    </row>
    <row r="20" spans="2:2" ht="15" customHeight="1" x14ac:dyDescent="0.25">
      <c r="B20" s="32" t="s">
        <v>7</v>
      </c>
    </row>
    <row r="21" spans="2:2" ht="15" customHeight="1" x14ac:dyDescent="0.25">
      <c r="B21" s="24"/>
    </row>
    <row r="22" spans="2:2" ht="15" customHeight="1" x14ac:dyDescent="0.25">
      <c r="B22" s="32" t="s">
        <v>8</v>
      </c>
    </row>
    <row r="23" spans="2:2" ht="15" customHeight="1" x14ac:dyDescent="0.25">
      <c r="B23" s="24"/>
    </row>
    <row r="24" spans="2:2" ht="15" customHeight="1" x14ac:dyDescent="0.25">
      <c r="B24" s="32" t="s">
        <v>9</v>
      </c>
    </row>
    <row r="25" spans="2:2" ht="15" customHeight="1" x14ac:dyDescent="0.25">
      <c r="B25" s="24"/>
    </row>
    <row r="26" spans="2:2" ht="15" customHeight="1" x14ac:dyDescent="0.25">
      <c r="B26" s="32" t="s">
        <v>10</v>
      </c>
    </row>
    <row r="27" spans="2:2" ht="15" customHeight="1" x14ac:dyDescent="0.25">
      <c r="B27" s="24"/>
    </row>
    <row r="28" spans="2:2" ht="15" customHeight="1" x14ac:dyDescent="0.25">
      <c r="B28" s="32" t="s">
        <v>11</v>
      </c>
    </row>
    <row r="29" spans="2:2" ht="15" customHeight="1" x14ac:dyDescent="0.25">
      <c r="B29" s="24"/>
    </row>
    <row r="30" spans="2:2" ht="15" customHeight="1" x14ac:dyDescent="0.25">
      <c r="B30" s="32" t="s">
        <v>12</v>
      </c>
    </row>
    <row r="31" spans="2:2" x14ac:dyDescent="0.25">
      <c r="B31" s="24"/>
    </row>
    <row r="32" spans="2:2" ht="15" customHeight="1" x14ac:dyDescent="0.25">
      <c r="B32" s="32" t="s">
        <v>13</v>
      </c>
    </row>
    <row r="33" spans="2:2" x14ac:dyDescent="0.25">
      <c r="B33" s="24"/>
    </row>
    <row r="34" spans="2:2" ht="15" customHeight="1" x14ac:dyDescent="0.25">
      <c r="B34" s="32" t="s">
        <v>14</v>
      </c>
    </row>
    <row r="35" spans="2:2" ht="15" customHeight="1" x14ac:dyDescent="0.25">
      <c r="B35" s="24"/>
    </row>
    <row r="36" spans="2:2" ht="15" customHeight="1" x14ac:dyDescent="0.25">
      <c r="B36" s="32" t="s">
        <v>15</v>
      </c>
    </row>
    <row r="37" spans="2:2" ht="15" customHeight="1" x14ac:dyDescent="0.25">
      <c r="B37" s="24"/>
    </row>
    <row r="38" spans="2:2" ht="15" customHeight="1" x14ac:dyDescent="0.25">
      <c r="B38" s="32" t="s">
        <v>16</v>
      </c>
    </row>
    <row r="39" spans="2:2" ht="15" customHeight="1" x14ac:dyDescent="0.25">
      <c r="B39" s="24"/>
    </row>
    <row r="40" spans="2:2" ht="15" customHeight="1" x14ac:dyDescent="0.25">
      <c r="B40" s="32" t="s">
        <v>17</v>
      </c>
    </row>
    <row r="41" spans="2:2" ht="15" customHeight="1" x14ac:dyDescent="0.25">
      <c r="B41" s="24"/>
    </row>
    <row r="42" spans="2:2" ht="15" customHeight="1" x14ac:dyDescent="0.25">
      <c r="B42" s="32" t="s">
        <v>18</v>
      </c>
    </row>
    <row r="43" spans="2:2" ht="15" customHeight="1" x14ac:dyDescent="0.25">
      <c r="B43" s="24"/>
    </row>
    <row r="44" spans="2:2" ht="15" customHeight="1" x14ac:dyDescent="0.25">
      <c r="B44" s="32" t="s">
        <v>19</v>
      </c>
    </row>
    <row r="45" spans="2:2" ht="15" customHeight="1" x14ac:dyDescent="0.25">
      <c r="B45" s="24"/>
    </row>
    <row r="46" spans="2:2" ht="15" customHeight="1" x14ac:dyDescent="0.25">
      <c r="B46" s="32" t="s">
        <v>20</v>
      </c>
    </row>
    <row r="47" spans="2:2" ht="15" customHeight="1" x14ac:dyDescent="0.25">
      <c r="B47" s="24"/>
    </row>
    <row r="48" spans="2:2" ht="15" customHeight="1" x14ac:dyDescent="0.25">
      <c r="B48" s="32" t="s">
        <v>21</v>
      </c>
    </row>
    <row r="49" spans="2:2" ht="15" customHeight="1" x14ac:dyDescent="0.25">
      <c r="B49" s="24"/>
    </row>
    <row r="50" spans="2:2" ht="15" customHeight="1" x14ac:dyDescent="0.25">
      <c r="B50" s="32" t="s">
        <v>22</v>
      </c>
    </row>
    <row r="51" spans="2:2" ht="15" customHeight="1" x14ac:dyDescent="0.25">
      <c r="B51" s="24"/>
    </row>
    <row r="52" spans="2:2" ht="15" customHeight="1" x14ac:dyDescent="0.25">
      <c r="B52" s="32" t="s">
        <v>23</v>
      </c>
    </row>
    <row r="53" spans="2:2" ht="15" customHeight="1" x14ac:dyDescent="0.25">
      <c r="B53" s="24"/>
    </row>
    <row r="54" spans="2:2" ht="15" customHeight="1" x14ac:dyDescent="0.25">
      <c r="B54" s="32" t="s">
        <v>24</v>
      </c>
    </row>
    <row r="55" spans="2:2" x14ac:dyDescent="0.25">
      <c r="B55" s="24"/>
    </row>
    <row r="56" spans="2:2" ht="15" customHeight="1" x14ac:dyDescent="0.25">
      <c r="B56" s="32" t="s">
        <v>25</v>
      </c>
    </row>
    <row r="57" spans="2:2" ht="15" customHeight="1" x14ac:dyDescent="0.25">
      <c r="B57" s="24"/>
    </row>
    <row r="58" spans="2:2" ht="15" customHeight="1" x14ac:dyDescent="0.25">
      <c r="B58" s="32" t="s">
        <v>26</v>
      </c>
    </row>
    <row r="59" spans="2:2" ht="15" customHeight="1" x14ac:dyDescent="0.25">
      <c r="B59" s="24"/>
    </row>
    <row r="60" spans="2:2" ht="15" customHeight="1" x14ac:dyDescent="0.25">
      <c r="B60" s="32" t="s">
        <v>27</v>
      </c>
    </row>
    <row r="61" spans="2:2" ht="15" customHeight="1" x14ac:dyDescent="0.25">
      <c r="B61" s="24"/>
    </row>
    <row r="62" spans="2:2" ht="15" customHeight="1" x14ac:dyDescent="0.25">
      <c r="B62" s="32" t="s">
        <v>28</v>
      </c>
    </row>
    <row r="63" spans="2:2" ht="15" customHeight="1" x14ac:dyDescent="0.25">
      <c r="B63" s="24"/>
    </row>
    <row r="64" spans="2:2" ht="15" customHeight="1" x14ac:dyDescent="0.25">
      <c r="B64" s="32" t="s">
        <v>29</v>
      </c>
    </row>
    <row r="65" spans="2:2" ht="15" customHeight="1" x14ac:dyDescent="0.25">
      <c r="B65" s="24"/>
    </row>
    <row r="66" spans="2:2" ht="15" customHeight="1" x14ac:dyDescent="0.25">
      <c r="B66" s="32" t="s">
        <v>30</v>
      </c>
    </row>
    <row r="67" spans="2:2" x14ac:dyDescent="0.25">
      <c r="B67" s="24"/>
    </row>
    <row r="68" spans="2:2" ht="15" customHeight="1" x14ac:dyDescent="0.25">
      <c r="B68" s="32" t="s">
        <v>31</v>
      </c>
    </row>
    <row r="69" spans="2:2" ht="15" customHeight="1" x14ac:dyDescent="0.25">
      <c r="B69" s="24"/>
    </row>
    <row r="70" spans="2:2" ht="15" customHeight="1" x14ac:dyDescent="0.25">
      <c r="B70" s="32" t="s">
        <v>32</v>
      </c>
    </row>
    <row r="71" spans="2:2" ht="15" customHeight="1" x14ac:dyDescent="0.25">
      <c r="B71" s="24"/>
    </row>
    <row r="72" spans="2:2" ht="15" customHeight="1" x14ac:dyDescent="0.25">
      <c r="B72" s="32" t="s">
        <v>33</v>
      </c>
    </row>
    <row r="73" spans="2:2" x14ac:dyDescent="0.25">
      <c r="B73" s="24"/>
    </row>
    <row r="74" spans="2:2" ht="15" customHeight="1" x14ac:dyDescent="0.25">
      <c r="B74" s="32" t="s">
        <v>34</v>
      </c>
    </row>
    <row r="75" spans="2:2" ht="15" customHeight="1" x14ac:dyDescent="0.25">
      <c r="B75" s="24"/>
    </row>
    <row r="76" spans="2:2" ht="15" customHeight="1" x14ac:dyDescent="0.25">
      <c r="B76" s="32" t="s">
        <v>35</v>
      </c>
    </row>
    <row r="77" spans="2:2" ht="15" customHeight="1" x14ac:dyDescent="0.25">
      <c r="B77" s="24"/>
    </row>
    <row r="78" spans="2:2" ht="15" customHeight="1" x14ac:dyDescent="0.25">
      <c r="B78" s="32" t="s">
        <v>36</v>
      </c>
    </row>
    <row r="79" spans="2:2" ht="15" customHeight="1" x14ac:dyDescent="0.25">
      <c r="B79" s="24"/>
    </row>
    <row r="80" spans="2:2" ht="15" customHeight="1" x14ac:dyDescent="0.25">
      <c r="B80" s="32" t="s">
        <v>37</v>
      </c>
    </row>
    <row r="81" spans="2:2" ht="15" customHeight="1" x14ac:dyDescent="0.25">
      <c r="B81" s="24"/>
    </row>
    <row r="82" spans="2:2" ht="15" customHeight="1" x14ac:dyDescent="0.25">
      <c r="B82" s="32" t="s">
        <v>38</v>
      </c>
    </row>
    <row r="83" spans="2:2" ht="15" customHeight="1" x14ac:dyDescent="0.25">
      <c r="B83" s="24"/>
    </row>
    <row r="84" spans="2:2" ht="15" customHeight="1" x14ac:dyDescent="0.25">
      <c r="B84" s="32" t="s">
        <v>39</v>
      </c>
    </row>
    <row r="85" spans="2:2" ht="15" customHeight="1" x14ac:dyDescent="0.25">
      <c r="B85" s="24"/>
    </row>
    <row r="86" spans="2:2" ht="15" customHeight="1" x14ac:dyDescent="0.25">
      <c r="B86" s="32" t="s">
        <v>40</v>
      </c>
    </row>
    <row r="87" spans="2:2" ht="15" customHeight="1" x14ac:dyDescent="0.25">
      <c r="B87" s="24"/>
    </row>
    <row r="88" spans="2:2" ht="15" customHeight="1" x14ac:dyDescent="0.25">
      <c r="B88" s="32" t="s">
        <v>41</v>
      </c>
    </row>
    <row r="89" spans="2:2" x14ac:dyDescent="0.25">
      <c r="B89" s="24"/>
    </row>
    <row r="90" spans="2:2" ht="15" x14ac:dyDescent="0.25">
      <c r="B90" s="32" t="s">
        <v>42</v>
      </c>
    </row>
    <row r="91" spans="2:2" x14ac:dyDescent="0.25">
      <c r="B91" s="24"/>
    </row>
    <row r="92" spans="2:2" ht="15" x14ac:dyDescent="0.25">
      <c r="B92" s="32" t="s">
        <v>43</v>
      </c>
    </row>
    <row r="93" spans="2:2" x14ac:dyDescent="0.25">
      <c r="B93" s="24"/>
    </row>
    <row r="94" spans="2:2" ht="15" x14ac:dyDescent="0.25">
      <c r="B94" s="32" t="s">
        <v>44</v>
      </c>
    </row>
    <row r="95" spans="2:2" x14ac:dyDescent="0.25">
      <c r="B95" s="24"/>
    </row>
    <row r="96" spans="2:2" ht="15" x14ac:dyDescent="0.25">
      <c r="B96" s="32" t="s">
        <v>45</v>
      </c>
    </row>
    <row r="97" spans="2:2" x14ac:dyDescent="0.25">
      <c r="B97" s="24"/>
    </row>
    <row r="98" spans="2:2" ht="15" x14ac:dyDescent="0.25">
      <c r="B98" s="32" t="s">
        <v>46</v>
      </c>
    </row>
    <row r="99" spans="2:2" x14ac:dyDescent="0.25">
      <c r="B99" s="24"/>
    </row>
    <row r="100" spans="2:2" ht="15" x14ac:dyDescent="0.25">
      <c r="B100" s="32" t="s">
        <v>47</v>
      </c>
    </row>
    <row r="101" spans="2:2" x14ac:dyDescent="0.25">
      <c r="B101" s="24"/>
    </row>
    <row r="102" spans="2:2" ht="15" x14ac:dyDescent="0.25">
      <c r="B102" s="32" t="s">
        <v>48</v>
      </c>
    </row>
    <row r="103" spans="2:2" x14ac:dyDescent="0.25">
      <c r="B103" s="24"/>
    </row>
    <row r="104" spans="2:2" ht="15" x14ac:dyDescent="0.25">
      <c r="B104" s="32" t="s">
        <v>49</v>
      </c>
    </row>
    <row r="105" spans="2:2" x14ac:dyDescent="0.25">
      <c r="B105" s="24"/>
    </row>
    <row r="106" spans="2:2" ht="15" x14ac:dyDescent="0.25">
      <c r="B106" s="32" t="s">
        <v>50</v>
      </c>
    </row>
    <row r="107" spans="2:2" x14ac:dyDescent="0.25">
      <c r="B107" s="24"/>
    </row>
    <row r="108" spans="2:2" ht="15" x14ac:dyDescent="0.25">
      <c r="B108" s="32" t="s">
        <v>51</v>
      </c>
    </row>
    <row r="109" spans="2:2" x14ac:dyDescent="0.25">
      <c r="B109" s="23"/>
    </row>
    <row r="110" spans="2:2" ht="15" x14ac:dyDescent="0.25">
      <c r="B110" s="32" t="s">
        <v>52</v>
      </c>
    </row>
    <row r="111" spans="2:2" x14ac:dyDescent="0.25">
      <c r="B111" s="23"/>
    </row>
    <row r="112" spans="2:2" ht="15" x14ac:dyDescent="0.25">
      <c r="B112" s="32" t="s">
        <v>53</v>
      </c>
    </row>
    <row r="113" spans="2:2" x14ac:dyDescent="0.25">
      <c r="B113" s="23"/>
    </row>
    <row r="114" spans="2:2" ht="15" x14ac:dyDescent="0.25">
      <c r="B114" s="32" t="s">
        <v>54</v>
      </c>
    </row>
    <row r="115" spans="2:2" x14ac:dyDescent="0.25">
      <c r="B115" s="24"/>
    </row>
    <row r="116" spans="2:2" ht="15" x14ac:dyDescent="0.25">
      <c r="B116" s="32" t="s">
        <v>55</v>
      </c>
    </row>
    <row r="117" spans="2:2" x14ac:dyDescent="0.25">
      <c r="B117" s="24"/>
    </row>
    <row r="118" spans="2:2" ht="15" x14ac:dyDescent="0.25">
      <c r="B118" s="32" t="s">
        <v>56</v>
      </c>
    </row>
    <row r="119" spans="2:2" x14ac:dyDescent="0.25">
      <c r="B119" s="24"/>
    </row>
    <row r="120" spans="2:2" ht="15" x14ac:dyDescent="0.25">
      <c r="B120" s="32" t="s">
        <v>57</v>
      </c>
    </row>
    <row r="121" spans="2:2" x14ac:dyDescent="0.25">
      <c r="B121" s="24"/>
    </row>
    <row r="122" spans="2:2" ht="15" x14ac:dyDescent="0.25">
      <c r="B122" s="32" t="s">
        <v>58</v>
      </c>
    </row>
    <row r="123" spans="2:2" x14ac:dyDescent="0.25">
      <c r="B123" s="24"/>
    </row>
    <row r="124" spans="2:2" ht="15" x14ac:dyDescent="0.25">
      <c r="B124" s="32" t="s">
        <v>59</v>
      </c>
    </row>
    <row r="125" spans="2:2" x14ac:dyDescent="0.25">
      <c r="B125" s="24"/>
    </row>
    <row r="126" spans="2:2" ht="15" x14ac:dyDescent="0.25">
      <c r="B126" s="32" t="s">
        <v>60</v>
      </c>
    </row>
    <row r="127" spans="2:2" x14ac:dyDescent="0.25">
      <c r="B127" s="24"/>
    </row>
    <row r="128" spans="2:2" ht="15" x14ac:dyDescent="0.25">
      <c r="B128" s="32" t="s">
        <v>61</v>
      </c>
    </row>
    <row r="129" spans="2:2" x14ac:dyDescent="0.25">
      <c r="B129" s="24"/>
    </row>
    <row r="130" spans="2:2" ht="15" x14ac:dyDescent="0.25">
      <c r="B130" s="32" t="s">
        <v>62</v>
      </c>
    </row>
    <row r="131" spans="2:2" x14ac:dyDescent="0.25">
      <c r="B131" s="24"/>
    </row>
    <row r="132" spans="2:2" ht="15" x14ac:dyDescent="0.25">
      <c r="B132" s="32" t="s">
        <v>63</v>
      </c>
    </row>
    <row r="133" spans="2:2" x14ac:dyDescent="0.25">
      <c r="B133" s="24"/>
    </row>
    <row r="134" spans="2:2" ht="15" x14ac:dyDescent="0.25">
      <c r="B134" s="32" t="s">
        <v>64</v>
      </c>
    </row>
    <row r="135" spans="2:2" x14ac:dyDescent="0.25">
      <c r="B135" s="24"/>
    </row>
    <row r="136" spans="2:2" ht="15" x14ac:dyDescent="0.25">
      <c r="B136" s="32" t="s">
        <v>65</v>
      </c>
    </row>
    <row r="137" spans="2:2" x14ac:dyDescent="0.25">
      <c r="B137" s="24"/>
    </row>
    <row r="138" spans="2:2" ht="15" x14ac:dyDescent="0.25">
      <c r="B138" s="32" t="s">
        <v>66</v>
      </c>
    </row>
    <row r="139" spans="2:2" x14ac:dyDescent="0.25">
      <c r="B139" s="24"/>
    </row>
    <row r="140" spans="2:2" ht="15" x14ac:dyDescent="0.25">
      <c r="B140" s="32" t="s">
        <v>67</v>
      </c>
    </row>
    <row r="141" spans="2:2" x14ac:dyDescent="0.25">
      <c r="B141" s="23"/>
    </row>
    <row r="142" spans="2:2" ht="15" x14ac:dyDescent="0.25">
      <c r="B142" s="32" t="s">
        <v>68</v>
      </c>
    </row>
    <row r="143" spans="2:2" x14ac:dyDescent="0.25">
      <c r="B143" s="23"/>
    </row>
    <row r="144" spans="2:2" ht="15" x14ac:dyDescent="0.25">
      <c r="B144" s="32" t="s">
        <v>69</v>
      </c>
    </row>
    <row r="145" spans="2:2" x14ac:dyDescent="0.25">
      <c r="B145" s="23"/>
    </row>
    <row r="146" spans="2:2" ht="15" customHeight="1" x14ac:dyDescent="0.25">
      <c r="B146" s="23" t="s">
        <v>70</v>
      </c>
    </row>
    <row r="147" spans="2:2" x14ac:dyDescent="0.25">
      <c r="B147" s="25"/>
    </row>
  </sheetData>
  <hyperlinks>
    <hyperlink ref="B10" location="'Table 5.1'!A1" display="Table 5.1: Separations by broad category of service, public and private hospitals, 2020–21 to 2024–25" xr:uid="{00000000-0004-0000-0000-000000000000}"/>
    <hyperlink ref="B12" location="'Table 5.2'!A1" display="Table 5.2: Patient days and average length of stay, for overnight acute separations, by broad category of service, public and private hospitals, 2024–25" xr:uid="{00000000-0004-0000-0000-000001000000}"/>
    <hyperlink ref="B14" location="'Table 5.3'!A1" display="Table 5.3: Acute separations by Major Diagnostic Category (MDC) version 11.0 and medical/surgical/other partition, public and private hospitals, 2024–25" xr:uid="{00000000-0004-0000-0000-000002000000}"/>
    <hyperlink ref="B16" location="'Table 5.4'!A1" display="Table 5.4: Separations for the 20 most common AR-DRGs version 11.0 for same-day acute separations, public and private hospitals, 2024–25" xr:uid="{00000000-0004-0000-0000-000003000000}"/>
    <hyperlink ref="B18" location="'Table 5.5'!A1" display="Table 5.5: Separations for the 20 most common AR-DRGs version 11.0 for overnight acute separations, public and private hospitals, 2024–25" xr:uid="{00000000-0004-0000-0000-000004000000}"/>
    <hyperlink ref="B20" location="'Table 5.6'!A1" display="Table 5.6: Separations involving a stay in a level 3 intensive care unit, public and private hospitals, 2024–25" xr:uid="{00000000-0004-0000-0000-000005000000}"/>
    <hyperlink ref="B22" location="'Table 5.7'!A1" display="Table 5.7: Separations involving continuous ventilatory support, public and private hospitals, 2024–25" xr:uid="{00000000-0004-0000-0000-000006000000}"/>
    <hyperlink ref="B24" location="'Table 5.8'!A1" display="Table 5.8: Numbers of separations reporting time in a level 3 intensive care unit and/or reporting continuous ventilatory support, public and private hospitals, 2024–25" xr:uid="{00000000-0004-0000-0000-000007000000}"/>
    <hyperlink ref="B26" location="'Table 5.9'!A1" display="Table 5.9: Separations for newborn care, qualified newborns, public and private hospitals, states and territories, 2020–21 to 2024–25" xr:uid="{00000000-0004-0000-0000-000008000000}"/>
    <hyperlink ref="B28" location="'Table 5.10'!A1" display="Table 5.10: Separations for newborn care, unqualified newborns, public and private hospitals, states and territories, 2020–21 to 2024–25" xr:uid="{00000000-0004-0000-0000-000009000000}"/>
    <hyperlink ref="B30" location="'Table 5.11'!A1" display="Table 5.11: Separations for newborn care, by Indigenous status, all newborns, all hospitals, states and territories, 2024–25" xr:uid="{00000000-0004-0000-0000-00000A000000}"/>
    <hyperlink ref="B32" location="'Table 5.12'!A1" display="Table 5.12: Separations for the 20 most common principal diagnosis 3-character ICD-10-AM groupings for newborn care separations, qualified newborns, public and private hospitals, 2024–25" xr:uid="{00000000-0004-0000-0000-00000B000000}"/>
    <hyperlink ref="B34" location="'Table 5.13'!A1" display="Table 5.13: Separations for the 20 most common principal diagnosis 3-character ICD-10-AM groupings for newborn care separations, unqualified newborns, public and private hospitals, 2024–25" xr:uid="{00000000-0004-0000-0000-00000C000000}"/>
    <hyperlink ref="B36" location="'Table 5.14'!A1" display="Table 5.14: The 10 most common ACHI interventions for newborn care, qualified newborns, public and private hospitals, 2024–25" xr:uid="{00000000-0004-0000-0000-00000D000000}"/>
    <hyperlink ref="B38" location="'Table 5.15'!A1" display="Table 5.15: The 10 most common ACHI interventions for newborn care, unqualified newborns, public and private hospitals, 2024–25" xr:uid="{00000000-0004-0000-0000-00000E000000}"/>
    <hyperlink ref="B40" location="'Table 5.16'!A1" display="Table 5.16: Separations for newborn care, by mode of separation, all newborns, public and private hospitals, 2024–25" xr:uid="{00000000-0004-0000-0000-00000F000000}"/>
    <hyperlink ref="B42" location="'Table 5.17'!A1" display="Table 5.17: Separations for newborn care, by funding source, all newborns, public and private hospitals, 2024–25" xr:uid="{00000000-0004-0000-0000-000010000000}"/>
    <hyperlink ref="B44" location="'Table 5.18'!A1" display="Table 5.18: Separations for rehabilitation care, by age group and sex, all hospitals, 2024–25" xr:uid="{00000000-0004-0000-0000-000011000000}"/>
    <hyperlink ref="B46" location="'Table 5.19'!A1" display="Table 5.19: Separations for rehabilitation care, by Indigenous status, all hospitals, states and territories, 2024–25" xr:uid="{00000000-0004-0000-0000-000012000000}"/>
    <hyperlink ref="B48" location="'Table 5.20'!A1" display="Table 5.20: Separation statistics for rehabilitation care, by remoteness area of usual residence, public and private hospitals, 2024–25" xr:uid="{00000000-0004-0000-0000-000013000000}"/>
    <hyperlink ref="B50" location="'Table 5.21'!A1" display="Table 5.21: Separations for rehabilitation care, by mode of admission, public and private hospitals, 2024–25" xr:uid="{00000000-0004-0000-0000-000014000000}"/>
    <hyperlink ref="B52" location="'Table 5.22'!A1" display="Table 5.22: Separations for rehabilitation care, by urgency of admission, public and private hospitals, 2024–25" xr:uid="{00000000-0004-0000-0000-000015000000}"/>
    <hyperlink ref="B54" location="'Table 5.23'!A1" display="Table 5.23: Separations for rehabilitation care, by principal diagnosis in ICD-10-AM chapters, public and private hospitals, 2024–25" xr:uid="{00000000-0004-0000-0000-000016000000}"/>
    <hyperlink ref="B56" location="'Table 5.24'!A1" display="Table 5.24: Separations for the 20 most common principal diagnoses in 3-character ICD-10-AM groupings for rehabilitation care separations, public and private hospitals, 2024–25" xr:uid="{00000000-0004-0000-0000-000017000000}"/>
    <hyperlink ref="B58" location="'Table 5.25'!A1" display="Table 5.25: The 10 most common ACHI interventions for rehabilitation care, public and private hospitals, 2024–25" xr:uid="{00000000-0004-0000-0000-000018000000}"/>
    <hyperlink ref="B60" location="'Table 5.26'!A1" display="Table 5.26: Separations for rehabilitation care, by mode of separation, public and private hospitals, 2024–25" xr:uid="{00000000-0004-0000-0000-000019000000}"/>
    <hyperlink ref="B62" location="'Table 5.27'!A1" display="Table 5.27: Separations for rehabilitation care, by funding source, public and private hospitals, 2024–25" xr:uid="{00000000-0004-0000-0000-00001A000000}"/>
    <hyperlink ref="B64" location="'Table 5.28'!A1" display="Table 5.28: Separations for palliative care, by mode of admission, public and private hospitals, 2024–25" xr:uid="{00000000-0004-0000-0000-00001B000000}"/>
    <hyperlink ref="B66" location="'Table 5.29'!A1" display="Table 5.29: Separations for palliative care, by urgency of admission, public and private hospitals, 2024–25" xr:uid="{00000000-0004-0000-0000-00001C000000}"/>
    <hyperlink ref="B68" location="'Table 5.30'!A1" display="Table 5.30: Separations for the 5 most common neoplasm-related and the 5 most common other principal diagnoses in 3-character ICD-10-AM groupings for palliative care separations, public and private hospitals, 2024–25" xr:uid="{00000000-0004-0000-0000-00001D000000}"/>
    <hyperlink ref="B70" location="'Table 5.31'!A1" display="Table 5.31: The 10 most common ACHI interventions for palliative care, public and private hospitals, 2024–25" xr:uid="{00000000-0004-0000-0000-00001E000000}"/>
    <hyperlink ref="B72" location="'Table 5.32'!A1" display="Table 5.32: Separations for palliative care, by funding source, public and private hospitals, 2024–25" xr:uid="{00000000-0004-0000-0000-00001F000000}"/>
    <hyperlink ref="B74" location="'Table 5.33'!A1" display="Table 5.33: Separations for palliative care, by mode of separation, public and private hospitals, 2024–25" xr:uid="{00000000-0004-0000-0000-000020000000}"/>
    <hyperlink ref="B76" location="'Table 5.34'!A1" display="Table 5.34: Separations for mental health care, by age group and sex, all hospitals, 2024–25" xr:uid="{00000000-0004-0000-0000-000021000000}"/>
    <hyperlink ref="B78" location="'Table 5.35'!A1" display="Table 5.35: Separations for mental health care, by mode of admission, public and private hospitals, 2024–25" xr:uid="{00000000-0004-0000-0000-000022000000}"/>
    <hyperlink ref="B80" location="'Table 5.36'!A1" display="Table 5.36: Separations for mental health care, by urgency of admission, public and private hospitals, 2024–25" xr:uid="{00000000-0004-0000-0000-000023000000}"/>
    <hyperlink ref="B82" location="'Table 5.37'!A1" display="Table 5.37: Separations for mental health care, by principal diagnosis in ICD-10-AM chapters, public and private hospitals, 2024–25" xr:uid="{00000000-0004-0000-0000-000024000000}"/>
    <hyperlink ref="B84" location="'Table 5.38'!A1" display="Table 5.38: The 10 most common ACHI interventions for mental health care, public and private hospitals, 2024–25" xr:uid="{00000000-0004-0000-0000-000025000000}"/>
    <hyperlink ref="B86" location="'Table 5.39'!A1" display="Table 5.39: Patient days and average length of stay for mental health care, public and private hospitals, 2024–25" xr:uid="{00000000-0004-0000-0000-000026000000}"/>
    <hyperlink ref="B88" location="'Table 5.40'!A1" display="Table 5.40: Separations for mental health care, by funding source, public and private hospitals, 2024–25" xr:uid="{00000000-0004-0000-0000-000027000000}"/>
    <hyperlink ref="B90" location="'Table 5.41'!A1" display="Table 5.41: Separations for mental health care, by mode of separation, public and private hospitals, 2024–25" xr:uid="{00000000-0004-0000-0000-000028000000}"/>
    <hyperlink ref="B92" location="'Table 5.42'!A1" display="Table 5.42: Separations, by mode of separation, public and private hospitals, 2024–25" xr:uid="{00000000-0004-0000-0000-000029000000}"/>
    <hyperlink ref="B94" location="'Table S5.1'!A1" display="Table S5.1: Separations by broad category of service, public and private hospitals, states and territories, 2024–25" xr:uid="{00000000-0004-0000-0000-00002A000000}"/>
    <hyperlink ref="B96" location="'Table S5.2'!A1" display="Table S5.2: Same-day acute separations by broad category of service, public and private hospitals, states and territories, 2024–25" xr:uid="{00000000-0004-0000-0000-00002B000000}"/>
    <hyperlink ref="B98" location="'Table S5.3'!A1" display="Table S5.3: Overnight acute separations by broad category of service, public and private hospitals, states and territories, 2024–25" xr:uid="{00000000-0004-0000-0000-00002C000000}"/>
    <hyperlink ref="B100" location="'Table S5.4'!A1" display="Table S5.4: Same-day acute separations, by Major Diagnostic Category, AR-DRG version 11.0, public hospitals, state and territories, 2024–25" xr:uid="{00000000-0004-0000-0000-00002D000000}"/>
    <hyperlink ref="B102" location="'Table S5.5'!A1" display="Table S5.5: Same-day acute separations, by Major Diagnostic Category, AR-DRG version 11.0, private hospitals, state and territories, 2024–25" xr:uid="{00000000-0004-0000-0000-00002E000000}"/>
    <hyperlink ref="B104" location="'Table S5.6'!A1" display="Table S5.6: Overnight acute separations, by Major Diagnostic Category, AR-DRG version 11.0, public hospitals, state and territories, 2024–25" xr:uid="{00000000-0004-0000-0000-00002F000000}"/>
    <hyperlink ref="B106" location="'Table S5.7'!A1" display="Table S5.7: Overnight acute separations, by Major Diagnostic Category, AR-DRG version 11.0, private hospitals, state and territories, 2024–25" xr:uid="{00000000-0004-0000-0000-000030000000}"/>
    <hyperlink ref="B108" location="'Table S5.8'!A1" display="Table S5.8: Separations involving a stay in an intensive care unit, public and private hospitals, states and territories, 2024–25" xr:uid="{00000000-0004-0000-0000-000031000000}"/>
    <hyperlink ref="B110" location="'Table S5.9'!A1" display="Table S5.9: Separations involving continuous ventilatory support, public and private hospitals, states and territories, 2024–25" xr:uid="{00000000-0004-0000-0000-000032000000}"/>
    <hyperlink ref="B112" location="'Table S5.10'!A1" display="Table S5.10: Separations for newborn care, all newborns, public and private hospitals, states and territories, 2020–21 to 2024–25" xr:uid="{00000000-0004-0000-0000-000033000000}"/>
    <hyperlink ref="B114" location="'Table S5.11'!A1" display="Table S5.11: Newborn care separations, qualified and unqualified newborns, public and private hospitals, states and territories, 2024–25" xr:uid="{00000000-0004-0000-0000-000034000000}"/>
    <hyperlink ref="B116" location="'Table S5.12'!A1" display="Table S5.12: Separation statistics for newborn care, by remoteness of area of usual residence, all newborns, public and private hospitals, 2024–25" xr:uid="{00000000-0004-0000-0000-000035000000}"/>
    <hyperlink ref="B118" location="'Table S5.13'!A1" display="Table S5.13: Separation statistics for newborn care, by socioeconomic area of usual residence, all newborns, public and private hospitals, 2024–25" xr:uid="{00000000-0004-0000-0000-000036000000}"/>
    <hyperlink ref="B120" location="'Table S5.14'!A1" display="Table S5.14: Separation statistics for rehabilitation care, by socioeconomic area of usual residence, all newborns, public and private hospitals, 2024–25" xr:uid="{00000000-0004-0000-0000-000037000000}"/>
    <hyperlink ref="B122" location="'Table S5.15'!A1" display="Table S5.15: Palliative care separations as identified by care type and/or any (principal or additional) diagnosis of Z51.5, all hospitals, states and territories, 2024–25" xr:uid="{00000000-0004-0000-0000-000038000000}"/>
    <hyperlink ref="B124" location="'Table S5.16'!A1" display="Table S5.16: Separations for palliative care, by Indigenous status, all hospitals, states and territories, 2024–25" xr:uid="{00000000-0004-0000-0000-000039000000}"/>
    <hyperlink ref="B126" location="'Table S5.17'!A1" display="Table S5.17: Separation statistics for palliative care, by remoteness of area of usual residence, public and private hospitals, 2024–25" xr:uid="{00000000-0004-0000-0000-00003A000000}"/>
    <hyperlink ref="B128" location="'Table S5.18'!A1" display="Table S5.18: Separation statistics for palliative care, by socioeconomic area of usual residence, public and private hospitals, 2024–25" xr:uid="{00000000-0004-0000-0000-00003B000000}"/>
    <hyperlink ref="B130" location="'Table S5.19'!A1" display="Table S5.19: Mental health care separations, by same-day/overnight status, public and private hospitals, states and territories, 2024–25" xr:uid="{00000000-0004-0000-0000-00003C000000}"/>
    <hyperlink ref="B132" location="'Table S5.20'!A1" display="Table S5.20: Separations for mental health care, by Indigenous status, all hospitals, states and territories, 2024–25" xr:uid="{00000000-0004-0000-0000-00003D000000}"/>
    <hyperlink ref="B134" location="'Table S5.21'!A1" display="Table S5.21: Separation statistics for mental health care, by remoteness of area of usual residence, public and private hospitals, 2024–25" xr:uid="{00000000-0004-0000-0000-00003E000000}"/>
    <hyperlink ref="B136" location="'Table S5.22'!A1" display="Table S5.22: Separation statistics for mental health care, by socioeconomic area of usual residence, public and private hospitals, 2024–25" xr:uid="{00000000-0004-0000-0000-00003F000000}"/>
    <hyperlink ref="B138" location="'Table S5.23'!A1" display="Table S5.23: Separations, by mode of separation, public and private hospitals, states and territories, 2024–25" xr:uid="{00000000-0004-0000-0000-000040000000}"/>
    <hyperlink ref="B140" location="'Table S5.24'!A1" display="Table S5.24: Same-day acute separations, by mode of separation, public and private hospitals, 2024–25" xr:uid="{00000000-0004-0000-0000-000041000000}"/>
    <hyperlink ref="B142" location="'Table S5.25'!A1" display="Table S5.25: Overnight acute separations, by mode of separation, public and private hospitals, 2024–25" xr:uid="{00000000-0004-0000-0000-000042000000}"/>
    <hyperlink ref="B144" location="'Table S5.26'!A1" display="Table S5.26: Separations that involved hospital-in-the-home care, public and private hospitals, states and territories, 2024–25" xr:uid="{00000000-0004-0000-0000-000043000000}"/>
    <hyperlink ref="B146" location="'Technical specifications'!A1" display="Technical Specification" xr:uid="{00000000-0004-0000-0000-000044000000}"/>
  </hyperlinks>
  <pageMargins left="0.7" right="0.7" top="0.75" bottom="0.75" header="0.3" footer="0.3"/>
  <pageSetup paperSize="9" scale="54"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8"/>
  <sheetViews>
    <sheetView topLeftCell="A2" workbookViewId="0">
      <selection activeCell="A14" sqref="A14:XFD14"/>
    </sheetView>
  </sheetViews>
  <sheetFormatPr defaultRowHeight="15" x14ac:dyDescent="0.25"/>
  <cols>
    <col min="1" max="1" width="17" customWidth="1"/>
    <col min="2" max="2" width="31" customWidth="1"/>
    <col min="3" max="3" width="33" customWidth="1"/>
    <col min="4" max="10" width="11.140625" customWidth="1"/>
  </cols>
  <sheetData>
    <row r="1" spans="1:10" ht="33.75" customHeight="1" x14ac:dyDescent="0.25">
      <c r="A1" s="74" t="s">
        <v>2</v>
      </c>
      <c r="B1" s="75"/>
      <c r="C1" s="75"/>
      <c r="D1" s="75"/>
      <c r="E1" s="75"/>
      <c r="F1" s="75"/>
      <c r="G1" s="75"/>
      <c r="H1" s="75"/>
      <c r="I1" s="75"/>
      <c r="J1" s="75"/>
    </row>
    <row r="2" spans="1:10" ht="57" x14ac:dyDescent="0.25">
      <c r="A2" s="34" t="s">
        <v>214</v>
      </c>
      <c r="B2" s="34" t="s">
        <v>215</v>
      </c>
      <c r="C2" s="34" t="s">
        <v>216</v>
      </c>
      <c r="D2" s="35" t="s">
        <v>217</v>
      </c>
      <c r="E2" s="35" t="s">
        <v>218</v>
      </c>
      <c r="F2" s="35" t="s">
        <v>219</v>
      </c>
      <c r="G2" s="35" t="s">
        <v>220</v>
      </c>
      <c r="H2" s="35" t="s">
        <v>221</v>
      </c>
      <c r="I2" s="35" t="s">
        <v>222</v>
      </c>
      <c r="J2" s="35" t="s">
        <v>223</v>
      </c>
    </row>
    <row r="3" spans="1:10" x14ac:dyDescent="0.25">
      <c r="A3" s="36" t="s">
        <v>224</v>
      </c>
      <c r="B3" s="36" t="s">
        <v>225</v>
      </c>
      <c r="C3" s="36" t="s">
        <v>225</v>
      </c>
      <c r="D3" s="37">
        <v>235394</v>
      </c>
      <c r="E3" s="37">
        <v>231971</v>
      </c>
      <c r="F3" s="37">
        <v>217842</v>
      </c>
      <c r="G3" s="37">
        <v>219285</v>
      </c>
      <c r="H3" s="37">
        <v>220435</v>
      </c>
      <c r="I3" s="38">
        <v>-1.628047662</v>
      </c>
      <c r="J3" s="38">
        <v>0.52443167570000004</v>
      </c>
    </row>
    <row r="4" spans="1:10" x14ac:dyDescent="0.25">
      <c r="A4" s="36" t="s">
        <v>224</v>
      </c>
      <c r="B4" s="36" t="s">
        <v>226</v>
      </c>
      <c r="C4" s="36" t="s">
        <v>227</v>
      </c>
      <c r="D4" s="37">
        <v>327510</v>
      </c>
      <c r="E4" s="37">
        <v>315520</v>
      </c>
      <c r="F4" s="37">
        <v>326899</v>
      </c>
      <c r="G4" s="37">
        <v>340468</v>
      </c>
      <c r="H4" s="37">
        <v>347382</v>
      </c>
      <c r="I4" s="38">
        <v>1.4835583333</v>
      </c>
      <c r="J4" s="38">
        <v>2.0307341659000002</v>
      </c>
    </row>
    <row r="5" spans="1:10" x14ac:dyDescent="0.25">
      <c r="A5" s="36" t="s">
        <v>224</v>
      </c>
      <c r="B5" s="36" t="s">
        <v>226</v>
      </c>
      <c r="C5" s="36" t="s">
        <v>228</v>
      </c>
      <c r="D5" s="37">
        <v>794345</v>
      </c>
      <c r="E5" s="37">
        <v>683401</v>
      </c>
      <c r="F5" s="37">
        <v>799840</v>
      </c>
      <c r="G5" s="37">
        <v>849228</v>
      </c>
      <c r="H5" s="37">
        <v>860958</v>
      </c>
      <c r="I5" s="38">
        <v>2.0335976479000002</v>
      </c>
      <c r="J5" s="38">
        <v>1.3812545040999999</v>
      </c>
    </row>
    <row r="6" spans="1:10" x14ac:dyDescent="0.25">
      <c r="A6" s="36" t="s">
        <v>224</v>
      </c>
      <c r="B6" s="36" t="s">
        <v>229</v>
      </c>
      <c r="C6" s="36" t="s">
        <v>227</v>
      </c>
      <c r="D6" s="37">
        <v>82262</v>
      </c>
      <c r="E6" s="37">
        <v>87040</v>
      </c>
      <c r="F6" s="37">
        <v>93496</v>
      </c>
      <c r="G6" s="37">
        <v>96276</v>
      </c>
      <c r="H6" s="37">
        <v>99715</v>
      </c>
      <c r="I6" s="38">
        <v>4.9277372251999996</v>
      </c>
      <c r="J6" s="38">
        <v>3.5720221031000001</v>
      </c>
    </row>
    <row r="7" spans="1:10" x14ac:dyDescent="0.25">
      <c r="A7" s="36" t="s">
        <v>224</v>
      </c>
      <c r="B7" s="36" t="s">
        <v>229</v>
      </c>
      <c r="C7" s="36" t="s">
        <v>228</v>
      </c>
      <c r="D7" s="37">
        <v>395409</v>
      </c>
      <c r="E7" s="37">
        <v>358914</v>
      </c>
      <c r="F7" s="37">
        <v>387044</v>
      </c>
      <c r="G7" s="37">
        <v>406579</v>
      </c>
      <c r="H7" s="37">
        <v>409804</v>
      </c>
      <c r="I7" s="38">
        <v>0.89796584859999995</v>
      </c>
      <c r="J7" s="38">
        <v>0.79320378079999998</v>
      </c>
    </row>
    <row r="8" spans="1:10" x14ac:dyDescent="0.25">
      <c r="A8" s="36" t="s">
        <v>224</v>
      </c>
      <c r="B8" s="36" t="s">
        <v>230</v>
      </c>
      <c r="C8" s="36" t="s">
        <v>230</v>
      </c>
      <c r="D8" s="37">
        <v>142916</v>
      </c>
      <c r="E8" s="37">
        <v>134433</v>
      </c>
      <c r="F8" s="37">
        <v>136316</v>
      </c>
      <c r="G8" s="37">
        <v>138711</v>
      </c>
      <c r="H8" s="37">
        <v>143071</v>
      </c>
      <c r="I8" s="38">
        <v>2.7102808700000001E-2</v>
      </c>
      <c r="J8" s="38">
        <v>3.1432258436999998</v>
      </c>
    </row>
    <row r="9" spans="1:10" x14ac:dyDescent="0.25">
      <c r="A9" s="36" t="s">
        <v>224</v>
      </c>
      <c r="B9" s="36" t="s">
        <v>231</v>
      </c>
      <c r="C9" s="36" t="s">
        <v>232</v>
      </c>
      <c r="D9" s="37">
        <v>43455</v>
      </c>
      <c r="E9" s="37">
        <v>44110</v>
      </c>
      <c r="F9" s="37">
        <v>46712</v>
      </c>
      <c r="G9" s="37">
        <v>49910</v>
      </c>
      <c r="H9" s="37">
        <v>50321</v>
      </c>
      <c r="I9" s="38">
        <v>3.7354934605999999</v>
      </c>
      <c r="J9" s="38">
        <v>0.82348226810000003</v>
      </c>
    </row>
    <row r="10" spans="1:10" x14ac:dyDescent="0.25">
      <c r="A10" s="36" t="s">
        <v>224</v>
      </c>
      <c r="B10" s="36" t="s">
        <v>231</v>
      </c>
      <c r="C10" s="36" t="s">
        <v>233</v>
      </c>
      <c r="D10" s="37">
        <v>71139</v>
      </c>
      <c r="E10" s="37">
        <v>93821</v>
      </c>
      <c r="F10" s="37">
        <v>81562</v>
      </c>
      <c r="G10" s="37">
        <v>93599</v>
      </c>
      <c r="H10" s="37">
        <v>100440</v>
      </c>
      <c r="I10" s="38">
        <v>9.0058327377000005</v>
      </c>
      <c r="J10" s="38">
        <v>7.3088387696000003</v>
      </c>
    </row>
    <row r="11" spans="1:10" x14ac:dyDescent="0.25">
      <c r="A11" s="36" t="s">
        <v>224</v>
      </c>
      <c r="B11" s="36" t="s">
        <v>231</v>
      </c>
      <c r="C11" s="36" t="s">
        <v>234</v>
      </c>
      <c r="D11" s="37">
        <v>81506</v>
      </c>
      <c r="E11" s="37">
        <v>73254</v>
      </c>
      <c r="F11" s="37">
        <v>88906</v>
      </c>
      <c r="G11" s="37">
        <v>89486</v>
      </c>
      <c r="H11" s="37">
        <v>89930</v>
      </c>
      <c r="I11" s="38">
        <v>2.4893534269000002</v>
      </c>
      <c r="J11" s="38">
        <v>0.49616699819999999</v>
      </c>
    </row>
    <row r="12" spans="1:10" x14ac:dyDescent="0.25">
      <c r="A12" s="36" t="s">
        <v>224</v>
      </c>
      <c r="B12" s="36" t="s">
        <v>235</v>
      </c>
      <c r="C12" s="36" t="s">
        <v>227</v>
      </c>
      <c r="D12" s="37">
        <v>2762806</v>
      </c>
      <c r="E12" s="37">
        <v>2674513</v>
      </c>
      <c r="F12" s="37">
        <v>2713734</v>
      </c>
      <c r="G12" s="37">
        <v>2869828</v>
      </c>
      <c r="H12" s="37">
        <v>2917165</v>
      </c>
      <c r="I12" s="38">
        <v>1.3684138427000001</v>
      </c>
      <c r="J12" s="38">
        <v>1.6494716757000001</v>
      </c>
    </row>
    <row r="13" spans="1:10" x14ac:dyDescent="0.25">
      <c r="A13" s="36" t="s">
        <v>224</v>
      </c>
      <c r="B13" s="36" t="s">
        <v>235</v>
      </c>
      <c r="C13" s="36" t="s">
        <v>228</v>
      </c>
      <c r="D13" s="37">
        <v>3631967</v>
      </c>
      <c r="E13" s="37">
        <v>3584975</v>
      </c>
      <c r="F13" s="37">
        <v>3842909</v>
      </c>
      <c r="G13" s="37">
        <v>4018568</v>
      </c>
      <c r="H13" s="37">
        <v>4130165</v>
      </c>
      <c r="I13" s="38">
        <v>3.2657674669999999</v>
      </c>
      <c r="J13" s="38">
        <v>2.7770340080999998</v>
      </c>
    </row>
    <row r="14" spans="1:10" x14ac:dyDescent="0.25">
      <c r="A14" s="39" t="s">
        <v>224</v>
      </c>
      <c r="B14" s="39" t="s">
        <v>235</v>
      </c>
      <c r="C14" s="39" t="s">
        <v>235</v>
      </c>
      <c r="D14" s="40">
        <v>6969187</v>
      </c>
      <c r="E14" s="40">
        <v>6837095</v>
      </c>
      <c r="F14" s="40">
        <v>7128005</v>
      </c>
      <c r="G14" s="40">
        <v>7479408</v>
      </c>
      <c r="H14" s="40">
        <v>7651552</v>
      </c>
      <c r="I14" s="41">
        <v>2.3627286124000002</v>
      </c>
      <c r="J14" s="41">
        <v>2.3015725309000001</v>
      </c>
    </row>
    <row r="15" spans="1:10" x14ac:dyDescent="0.25">
      <c r="A15" s="36" t="s">
        <v>224</v>
      </c>
      <c r="B15" s="36" t="s">
        <v>236</v>
      </c>
      <c r="C15" s="36" t="s">
        <v>227</v>
      </c>
      <c r="D15" s="37">
        <v>2353034</v>
      </c>
      <c r="E15" s="37">
        <v>2271953</v>
      </c>
      <c r="F15" s="37">
        <v>2293339</v>
      </c>
      <c r="G15" s="37">
        <v>2433084</v>
      </c>
      <c r="H15" s="37">
        <v>2470068</v>
      </c>
      <c r="I15" s="38">
        <v>1.2208958555</v>
      </c>
      <c r="J15" s="38">
        <v>1.5200461636</v>
      </c>
    </row>
    <row r="16" spans="1:10" x14ac:dyDescent="0.25">
      <c r="A16" s="36" t="s">
        <v>224</v>
      </c>
      <c r="B16" s="36" t="s">
        <v>236</v>
      </c>
      <c r="C16" s="36" t="s">
        <v>228</v>
      </c>
      <c r="D16" s="37">
        <v>2442213</v>
      </c>
      <c r="E16" s="37">
        <v>2542660</v>
      </c>
      <c r="F16" s="37">
        <v>2656025</v>
      </c>
      <c r="G16" s="37">
        <v>2762761</v>
      </c>
      <c r="H16" s="37">
        <v>2859403</v>
      </c>
      <c r="I16" s="38">
        <v>4.0214629706</v>
      </c>
      <c r="J16" s="38">
        <v>3.4980224493000001</v>
      </c>
    </row>
    <row r="17" spans="1:10" x14ac:dyDescent="0.25">
      <c r="A17" s="36" t="s">
        <v>237</v>
      </c>
      <c r="B17" s="36" t="s">
        <v>225</v>
      </c>
      <c r="C17" s="36" t="s">
        <v>225</v>
      </c>
      <c r="D17" s="37">
        <v>65802</v>
      </c>
      <c r="E17" s="37">
        <v>69393</v>
      </c>
      <c r="F17" s="37">
        <v>64200</v>
      </c>
      <c r="G17" s="37">
        <v>61618</v>
      </c>
      <c r="H17" s="37">
        <v>58866</v>
      </c>
      <c r="I17" s="38">
        <v>-2.746249594</v>
      </c>
      <c r="J17" s="38">
        <v>-4.4662274010000003</v>
      </c>
    </row>
    <row r="18" spans="1:10" x14ac:dyDescent="0.25">
      <c r="A18" s="36" t="s">
        <v>237</v>
      </c>
      <c r="B18" s="36" t="s">
        <v>226</v>
      </c>
      <c r="C18" s="36" t="s">
        <v>227</v>
      </c>
      <c r="D18" s="37">
        <v>54926</v>
      </c>
      <c r="E18" s="37">
        <v>52244</v>
      </c>
      <c r="F18" s="37">
        <v>49057</v>
      </c>
      <c r="G18" s="37">
        <v>48175</v>
      </c>
      <c r="H18" s="37">
        <v>45161</v>
      </c>
      <c r="I18" s="38">
        <v>-4.7760057549999999</v>
      </c>
      <c r="J18" s="38">
        <v>-6.2563570320000004</v>
      </c>
    </row>
    <row r="19" spans="1:10" x14ac:dyDescent="0.25">
      <c r="A19" s="36" t="s">
        <v>237</v>
      </c>
      <c r="B19" s="36" t="s">
        <v>226</v>
      </c>
      <c r="C19" s="36" t="s">
        <v>228</v>
      </c>
      <c r="D19" s="37">
        <v>1646226</v>
      </c>
      <c r="E19" s="37">
        <v>1595055</v>
      </c>
      <c r="F19" s="37">
        <v>1688623</v>
      </c>
      <c r="G19" s="37">
        <v>1737266</v>
      </c>
      <c r="H19" s="37">
        <v>1708188</v>
      </c>
      <c r="I19" s="38">
        <v>0.9279733241</v>
      </c>
      <c r="J19" s="38">
        <v>-1.6737793750000001</v>
      </c>
    </row>
    <row r="20" spans="1:10" x14ac:dyDescent="0.25">
      <c r="A20" s="36" t="s">
        <v>237</v>
      </c>
      <c r="B20" s="36" t="s">
        <v>229</v>
      </c>
      <c r="C20" s="36" t="s">
        <v>227</v>
      </c>
      <c r="D20" s="37">
        <v>20305</v>
      </c>
      <c r="E20" s="37">
        <v>18396</v>
      </c>
      <c r="F20" s="37">
        <v>18378</v>
      </c>
      <c r="G20" s="37">
        <v>18126</v>
      </c>
      <c r="H20" s="37">
        <v>17328</v>
      </c>
      <c r="I20" s="38">
        <v>-3.8860642689999998</v>
      </c>
      <c r="J20" s="38">
        <v>-4.4025157229999996</v>
      </c>
    </row>
    <row r="21" spans="1:10" x14ac:dyDescent="0.25">
      <c r="A21" s="36" t="s">
        <v>237</v>
      </c>
      <c r="B21" s="36" t="s">
        <v>229</v>
      </c>
      <c r="C21" s="36" t="s">
        <v>228</v>
      </c>
      <c r="D21" s="37">
        <v>953811</v>
      </c>
      <c r="E21" s="37">
        <v>911866</v>
      </c>
      <c r="F21" s="37">
        <v>987976</v>
      </c>
      <c r="G21" s="37">
        <v>999802</v>
      </c>
      <c r="H21" s="37">
        <v>1015805</v>
      </c>
      <c r="I21" s="38">
        <v>1.5867355976999999</v>
      </c>
      <c r="J21" s="38">
        <v>1.6006169222</v>
      </c>
    </row>
    <row r="22" spans="1:10" x14ac:dyDescent="0.25">
      <c r="A22" s="36" t="s">
        <v>237</v>
      </c>
      <c r="B22" s="36" t="s">
        <v>230</v>
      </c>
      <c r="C22" s="36" t="s">
        <v>230</v>
      </c>
      <c r="D22" s="37">
        <v>232269</v>
      </c>
      <c r="E22" s="37">
        <v>218424</v>
      </c>
      <c r="F22" s="37">
        <v>217851</v>
      </c>
      <c r="G22" s="37">
        <v>217046</v>
      </c>
      <c r="H22" s="37">
        <v>215321</v>
      </c>
      <c r="I22" s="38">
        <v>-1.8763297139999999</v>
      </c>
      <c r="J22" s="38">
        <v>-0.79476240099999995</v>
      </c>
    </row>
    <row r="23" spans="1:10" x14ac:dyDescent="0.25">
      <c r="A23" s="36" t="s">
        <v>237</v>
      </c>
      <c r="B23" s="36" t="s">
        <v>231</v>
      </c>
      <c r="C23" s="36" t="s">
        <v>232</v>
      </c>
      <c r="D23" s="37">
        <v>6585</v>
      </c>
      <c r="E23" s="37">
        <v>7231</v>
      </c>
      <c r="F23" s="37">
        <v>7383</v>
      </c>
      <c r="G23" s="37">
        <v>7935</v>
      </c>
      <c r="H23" s="37">
        <v>8298</v>
      </c>
      <c r="I23" s="38">
        <v>5.9508420889</v>
      </c>
      <c r="J23" s="38">
        <v>4.5746691870999996</v>
      </c>
    </row>
    <row r="24" spans="1:10" x14ac:dyDescent="0.25">
      <c r="A24" s="36" t="s">
        <v>237</v>
      </c>
      <c r="B24" s="36" t="s">
        <v>231</v>
      </c>
      <c r="C24" s="36" t="s">
        <v>233</v>
      </c>
      <c r="D24" s="37">
        <v>13020</v>
      </c>
      <c r="E24" s="37">
        <v>15538</v>
      </c>
      <c r="F24" s="37">
        <v>15942</v>
      </c>
      <c r="G24" s="37">
        <v>16598</v>
      </c>
      <c r="H24" s="37">
        <v>19713</v>
      </c>
      <c r="I24" s="38">
        <v>10.926531738</v>
      </c>
      <c r="J24" s="38">
        <v>18.767321364000001</v>
      </c>
    </row>
    <row r="25" spans="1:10" x14ac:dyDescent="0.25">
      <c r="A25" s="36" t="s">
        <v>237</v>
      </c>
      <c r="B25" s="36" t="s">
        <v>231</v>
      </c>
      <c r="C25" s="36" t="s">
        <v>234</v>
      </c>
      <c r="D25" s="37">
        <v>348699</v>
      </c>
      <c r="E25" s="37">
        <v>308795</v>
      </c>
      <c r="F25" s="37">
        <v>359718</v>
      </c>
      <c r="G25" s="37">
        <v>396676</v>
      </c>
      <c r="H25" s="37">
        <v>406451</v>
      </c>
      <c r="I25" s="38">
        <v>3.9057002705000001</v>
      </c>
      <c r="J25" s="38">
        <v>2.4642277324999999</v>
      </c>
    </row>
    <row r="26" spans="1:10" x14ac:dyDescent="0.25">
      <c r="A26" s="36" t="s">
        <v>237</v>
      </c>
      <c r="B26" s="36" t="s">
        <v>235</v>
      </c>
      <c r="C26" s="36" t="s">
        <v>227</v>
      </c>
      <c r="D26" s="37">
        <v>255354</v>
      </c>
      <c r="E26" s="37">
        <v>245107</v>
      </c>
      <c r="F26" s="37">
        <v>240594</v>
      </c>
      <c r="G26" s="37">
        <v>244569</v>
      </c>
      <c r="H26" s="37">
        <v>237229</v>
      </c>
      <c r="I26" s="38">
        <v>-1.8237864589999999</v>
      </c>
      <c r="J26" s="38">
        <v>-3.001198026</v>
      </c>
    </row>
    <row r="27" spans="1:10" x14ac:dyDescent="0.25">
      <c r="A27" s="36" t="s">
        <v>237</v>
      </c>
      <c r="B27" s="36" t="s">
        <v>235</v>
      </c>
      <c r="C27" s="36" t="s">
        <v>228</v>
      </c>
      <c r="D27" s="37">
        <v>3947325</v>
      </c>
      <c r="E27" s="37">
        <v>3891862</v>
      </c>
      <c r="F27" s="37">
        <v>4088087</v>
      </c>
      <c r="G27" s="37">
        <v>4198192</v>
      </c>
      <c r="H27" s="37">
        <v>4179272</v>
      </c>
      <c r="I27" s="38">
        <v>1.4377104129</v>
      </c>
      <c r="J27" s="38">
        <v>-0.450670193</v>
      </c>
    </row>
    <row r="28" spans="1:10" x14ac:dyDescent="0.25">
      <c r="A28" s="39" t="s">
        <v>237</v>
      </c>
      <c r="B28" s="39" t="s">
        <v>235</v>
      </c>
      <c r="C28" s="39" t="s">
        <v>235</v>
      </c>
      <c r="D28" s="40">
        <v>4869056</v>
      </c>
      <c r="E28" s="40">
        <v>4756356</v>
      </c>
      <c r="F28" s="40">
        <v>4993777</v>
      </c>
      <c r="G28" s="40">
        <v>5142645</v>
      </c>
      <c r="H28" s="40">
        <v>5125152</v>
      </c>
      <c r="I28" s="41">
        <v>1.2897490494999999</v>
      </c>
      <c r="J28" s="41">
        <v>-0.34015569800000001</v>
      </c>
    </row>
    <row r="29" spans="1:10" x14ac:dyDescent="0.25">
      <c r="A29" s="36" t="s">
        <v>237</v>
      </c>
      <c r="B29" s="36" t="s">
        <v>236</v>
      </c>
      <c r="C29" s="36" t="s">
        <v>227</v>
      </c>
      <c r="D29" s="37">
        <v>180123</v>
      </c>
      <c r="E29" s="37">
        <v>174467</v>
      </c>
      <c r="F29" s="37">
        <v>173159</v>
      </c>
      <c r="G29" s="37">
        <v>178268</v>
      </c>
      <c r="H29" s="37">
        <v>174740</v>
      </c>
      <c r="I29" s="38">
        <v>-0.75565039700000003</v>
      </c>
      <c r="J29" s="38">
        <v>-1.9790427900000001</v>
      </c>
    </row>
    <row r="30" spans="1:10" x14ac:dyDescent="0.25">
      <c r="A30" s="36" t="s">
        <v>237</v>
      </c>
      <c r="B30" s="36" t="s">
        <v>236</v>
      </c>
      <c r="C30" s="36" t="s">
        <v>228</v>
      </c>
      <c r="D30" s="37">
        <v>1347288</v>
      </c>
      <c r="E30" s="37">
        <v>1384941</v>
      </c>
      <c r="F30" s="37">
        <v>1411488</v>
      </c>
      <c r="G30" s="37">
        <v>1461124</v>
      </c>
      <c r="H30" s="37">
        <v>1455279</v>
      </c>
      <c r="I30" s="38">
        <v>1.9462969285</v>
      </c>
      <c r="J30" s="38">
        <v>-0.40003449400000002</v>
      </c>
    </row>
    <row r="31" spans="1:10" x14ac:dyDescent="0.25">
      <c r="A31" s="42" t="s">
        <v>238</v>
      </c>
      <c r="B31" s="42" t="s">
        <v>235</v>
      </c>
      <c r="C31" s="42" t="s">
        <v>235</v>
      </c>
      <c r="D31" s="43">
        <v>11838243</v>
      </c>
      <c r="E31" s="43">
        <v>11593451</v>
      </c>
      <c r="F31" s="43">
        <v>12121782</v>
      </c>
      <c r="G31" s="43">
        <v>12622053</v>
      </c>
      <c r="H31" s="43">
        <v>12776704</v>
      </c>
      <c r="I31" s="44">
        <v>1.9255106117</v>
      </c>
      <c r="J31" s="44">
        <v>1.2252444194000001</v>
      </c>
    </row>
    <row r="32" spans="1:10" x14ac:dyDescent="0.25">
      <c r="A32" s="45"/>
      <c r="B32" s="33"/>
      <c r="C32" s="33"/>
      <c r="D32" s="33"/>
      <c r="E32" s="33"/>
      <c r="F32" s="33"/>
      <c r="G32" s="33"/>
      <c r="H32" s="33"/>
      <c r="I32" s="33"/>
      <c r="J32" s="33"/>
    </row>
    <row r="33" spans="1:10" x14ac:dyDescent="0.25">
      <c r="A33" s="33" t="s">
        <v>239</v>
      </c>
      <c r="B33" s="33"/>
      <c r="C33" s="33"/>
      <c r="D33" s="33"/>
      <c r="E33" s="33"/>
      <c r="F33" s="33"/>
      <c r="G33" s="33"/>
      <c r="H33" s="33"/>
      <c r="I33" s="33"/>
      <c r="J33" s="33"/>
    </row>
    <row r="34" spans="1:10" x14ac:dyDescent="0.25">
      <c r="A34" s="46" t="s">
        <v>212</v>
      </c>
      <c r="B34" s="33"/>
      <c r="C34" s="33"/>
      <c r="D34" s="33"/>
      <c r="E34" s="33"/>
      <c r="F34" s="33"/>
      <c r="G34" s="33"/>
      <c r="H34" s="33"/>
      <c r="I34" s="33"/>
      <c r="J34" s="33"/>
    </row>
    <row r="35" spans="1:10" x14ac:dyDescent="0.25">
      <c r="A35" s="33"/>
      <c r="B35" s="33"/>
      <c r="C35" s="33"/>
      <c r="D35" s="33"/>
      <c r="E35" s="33"/>
      <c r="F35" s="33"/>
      <c r="G35" s="33"/>
      <c r="H35" s="33"/>
      <c r="I35" s="33"/>
      <c r="J35" s="33"/>
    </row>
    <row r="36" spans="1:10" x14ac:dyDescent="0.25">
      <c r="A36" s="46" t="s">
        <v>70</v>
      </c>
      <c r="B36" s="33"/>
      <c r="C36" s="33"/>
      <c r="D36" s="33"/>
      <c r="E36" s="33"/>
      <c r="F36" s="33"/>
      <c r="G36" s="33"/>
      <c r="H36" s="33"/>
      <c r="I36" s="33"/>
      <c r="J36" s="33"/>
    </row>
    <row r="37" spans="1:10" x14ac:dyDescent="0.25">
      <c r="A37" s="33"/>
      <c r="B37" s="33"/>
      <c r="C37" s="33"/>
      <c r="D37" s="33"/>
      <c r="E37" s="33"/>
      <c r="F37" s="33"/>
      <c r="G37" s="33"/>
      <c r="H37" s="33"/>
      <c r="I37" s="33"/>
      <c r="J37" s="33"/>
    </row>
    <row r="38" spans="1:10" x14ac:dyDescent="0.25">
      <c r="A38" s="46" t="s">
        <v>240</v>
      </c>
      <c r="B38" s="33"/>
      <c r="C38" s="33"/>
      <c r="D38" s="33"/>
      <c r="E38" s="33"/>
      <c r="F38" s="33"/>
      <c r="G38" s="33"/>
      <c r="H38" s="33"/>
      <c r="I38" s="33"/>
      <c r="J38" s="33"/>
    </row>
  </sheetData>
  <mergeCells count="1">
    <mergeCell ref="A1:J1"/>
  </mergeCells>
  <hyperlinks>
    <hyperlink ref="A34" r:id="rId1" xr:uid="{00000000-0004-0000-0200-000000000000}"/>
    <hyperlink ref="A36" location="'Technical specifications'!A1" display="Technical specifications" xr:uid="{00000000-0004-0000-0200-000001000000}"/>
    <hyperlink ref="A38" location="Contents!A1" display="Back to contents" xr:uid="{00000000-0004-0000-0200-000002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election sqref="A1:F1"/>
    </sheetView>
  </sheetViews>
  <sheetFormatPr defaultRowHeight="15" x14ac:dyDescent="0.25"/>
  <cols>
    <col min="1" max="1" width="31" customWidth="1"/>
    <col min="2" max="2" width="16" customWidth="1"/>
    <col min="3" max="3" width="22" customWidth="1"/>
    <col min="4" max="6" width="20" customWidth="1"/>
  </cols>
  <sheetData>
    <row r="1" spans="1:6" ht="33.75" customHeight="1" x14ac:dyDescent="0.25">
      <c r="A1" s="74" t="s">
        <v>3</v>
      </c>
      <c r="B1" s="75"/>
      <c r="C1" s="75"/>
      <c r="D1" s="75"/>
      <c r="E1" s="75"/>
      <c r="F1" s="75"/>
    </row>
    <row r="2" spans="1:6" x14ac:dyDescent="0.25">
      <c r="A2" s="34" t="s">
        <v>215</v>
      </c>
      <c r="B2" s="34" t="s">
        <v>241</v>
      </c>
      <c r="C2" s="34" t="s">
        <v>242</v>
      </c>
      <c r="D2" s="35" t="s">
        <v>224</v>
      </c>
      <c r="E2" s="35" t="s">
        <v>237</v>
      </c>
      <c r="F2" s="35" t="s">
        <v>238</v>
      </c>
    </row>
    <row r="3" spans="1:6" x14ac:dyDescent="0.25">
      <c r="A3" s="39" t="s">
        <v>225</v>
      </c>
      <c r="B3" s="39" t="s">
        <v>235</v>
      </c>
      <c r="C3" s="39" t="s">
        <v>243</v>
      </c>
      <c r="D3" s="40">
        <v>588551</v>
      </c>
      <c r="E3" s="40">
        <v>258414</v>
      </c>
      <c r="F3" s="40">
        <v>846965</v>
      </c>
    </row>
    <row r="4" spans="1:6" x14ac:dyDescent="0.25">
      <c r="A4" s="39" t="s">
        <v>225</v>
      </c>
      <c r="B4" s="39" t="s">
        <v>235</v>
      </c>
      <c r="C4" s="39" t="s">
        <v>244</v>
      </c>
      <c r="D4" s="41">
        <v>2.8055228498</v>
      </c>
      <c r="E4" s="41">
        <v>4.443691641</v>
      </c>
      <c r="F4" s="41">
        <v>3.1610720470999998</v>
      </c>
    </row>
    <row r="5" spans="1:6" x14ac:dyDescent="0.25">
      <c r="A5" s="36" t="s">
        <v>245</v>
      </c>
      <c r="B5" s="36" t="s">
        <v>227</v>
      </c>
      <c r="C5" s="36" t="s">
        <v>243</v>
      </c>
      <c r="D5" s="37">
        <v>2301474</v>
      </c>
      <c r="E5" s="37">
        <v>301967</v>
      </c>
      <c r="F5" s="37">
        <v>2603441</v>
      </c>
    </row>
    <row r="6" spans="1:6" x14ac:dyDescent="0.25">
      <c r="A6" s="36" t="s">
        <v>245</v>
      </c>
      <c r="B6" s="36" t="s">
        <v>227</v>
      </c>
      <c r="C6" s="36" t="s">
        <v>244</v>
      </c>
      <c r="D6" s="38">
        <v>7.5818862852000004</v>
      </c>
      <c r="E6" s="38">
        <v>7.8778795230999998</v>
      </c>
      <c r="F6" s="38">
        <v>7.6150725400999999</v>
      </c>
    </row>
    <row r="7" spans="1:6" x14ac:dyDescent="0.25">
      <c r="A7" s="36" t="s">
        <v>245</v>
      </c>
      <c r="B7" s="36" t="s">
        <v>228</v>
      </c>
      <c r="C7" s="36" t="s">
        <v>243</v>
      </c>
      <c r="D7" s="37">
        <v>1468036</v>
      </c>
      <c r="E7" s="37">
        <v>1766252</v>
      </c>
      <c r="F7" s="37">
        <v>3234288</v>
      </c>
    </row>
    <row r="8" spans="1:6" x14ac:dyDescent="0.25">
      <c r="A8" s="36" t="s">
        <v>245</v>
      </c>
      <c r="B8" s="36" t="s">
        <v>228</v>
      </c>
      <c r="C8" s="36" t="s">
        <v>244</v>
      </c>
      <c r="D8" s="38">
        <v>4.2107624219000002</v>
      </c>
      <c r="E8" s="38">
        <v>2.7044873384999999</v>
      </c>
      <c r="F8" s="38">
        <v>3.2287313533000002</v>
      </c>
    </row>
    <row r="9" spans="1:6" x14ac:dyDescent="0.25">
      <c r="A9" s="39" t="s">
        <v>245</v>
      </c>
      <c r="B9" s="39" t="s">
        <v>235</v>
      </c>
      <c r="C9" s="39" t="s">
        <v>243</v>
      </c>
      <c r="D9" s="40">
        <v>3769510</v>
      </c>
      <c r="E9" s="40">
        <v>2068219</v>
      </c>
      <c r="F9" s="40">
        <v>5837729</v>
      </c>
    </row>
    <row r="10" spans="1:6" x14ac:dyDescent="0.25">
      <c r="A10" s="39" t="s">
        <v>245</v>
      </c>
      <c r="B10" s="39" t="s">
        <v>235</v>
      </c>
      <c r="C10" s="39" t="s">
        <v>244</v>
      </c>
      <c r="D10" s="41">
        <v>5.7797904898999999</v>
      </c>
      <c r="E10" s="41">
        <v>2.9912931923000001</v>
      </c>
      <c r="F10" s="41">
        <v>4.3448382369000003</v>
      </c>
    </row>
    <row r="11" spans="1:6" x14ac:dyDescent="0.25">
      <c r="A11" s="36" t="s">
        <v>246</v>
      </c>
      <c r="B11" s="36" t="s">
        <v>227</v>
      </c>
      <c r="C11" s="36" t="s">
        <v>243</v>
      </c>
      <c r="D11" s="37">
        <v>621318</v>
      </c>
      <c r="E11" s="37">
        <v>85282</v>
      </c>
      <c r="F11" s="37">
        <v>706600</v>
      </c>
    </row>
    <row r="12" spans="1:6" x14ac:dyDescent="0.25">
      <c r="A12" s="36" t="s">
        <v>246</v>
      </c>
      <c r="B12" s="36" t="s">
        <v>227</v>
      </c>
      <c r="C12" s="36" t="s">
        <v>244</v>
      </c>
      <c r="D12" s="38">
        <v>6.6545781699999997</v>
      </c>
      <c r="E12" s="38">
        <v>6.2569332355</v>
      </c>
      <c r="F12" s="38">
        <v>6.6039234745000002</v>
      </c>
    </row>
    <row r="13" spans="1:6" x14ac:dyDescent="0.25">
      <c r="A13" s="36" t="s">
        <v>246</v>
      </c>
      <c r="B13" s="36" t="s">
        <v>228</v>
      </c>
      <c r="C13" s="36" t="s">
        <v>243</v>
      </c>
      <c r="D13" s="37">
        <v>111855</v>
      </c>
      <c r="E13" s="37">
        <v>96176</v>
      </c>
      <c r="F13" s="37">
        <v>208031</v>
      </c>
    </row>
    <row r="14" spans="1:6" x14ac:dyDescent="0.25">
      <c r="A14" s="36" t="s">
        <v>246</v>
      </c>
      <c r="B14" s="36" t="s">
        <v>228</v>
      </c>
      <c r="C14" s="36" t="s">
        <v>244</v>
      </c>
      <c r="D14" s="38">
        <v>3.6419431511</v>
      </c>
      <c r="E14" s="38">
        <v>2.5333473817000001</v>
      </c>
      <c r="F14" s="38">
        <v>3.0291218311999999</v>
      </c>
    </row>
    <row r="15" spans="1:6" x14ac:dyDescent="0.25">
      <c r="A15" s="39" t="s">
        <v>246</v>
      </c>
      <c r="B15" s="39" t="s">
        <v>235</v>
      </c>
      <c r="C15" s="39" t="s">
        <v>243</v>
      </c>
      <c r="D15" s="40">
        <v>733173</v>
      </c>
      <c r="E15" s="40">
        <v>181458</v>
      </c>
      <c r="F15" s="40">
        <v>914631</v>
      </c>
    </row>
    <row r="16" spans="1:6" x14ac:dyDescent="0.25">
      <c r="A16" s="39" t="s">
        <v>246</v>
      </c>
      <c r="B16" s="39" t="s">
        <v>235</v>
      </c>
      <c r="C16" s="39" t="s">
        <v>244</v>
      </c>
      <c r="D16" s="41">
        <v>5.9088733075000004</v>
      </c>
      <c r="E16" s="41">
        <v>3.5170368648000001</v>
      </c>
      <c r="F16" s="41">
        <v>5.2064107380999998</v>
      </c>
    </row>
    <row r="17" spans="1:6" x14ac:dyDescent="0.25">
      <c r="A17" s="47" t="s">
        <v>235</v>
      </c>
      <c r="B17" s="47" t="s">
        <v>227</v>
      </c>
      <c r="C17" s="47" t="s">
        <v>243</v>
      </c>
      <c r="D17" s="48">
        <v>9398027</v>
      </c>
      <c r="E17" s="48">
        <v>1319500</v>
      </c>
      <c r="F17" s="48">
        <v>10717527</v>
      </c>
    </row>
    <row r="18" spans="1:6" x14ac:dyDescent="0.25">
      <c r="A18" s="47" t="s">
        <v>235</v>
      </c>
      <c r="B18" s="47" t="s">
        <v>227</v>
      </c>
      <c r="C18" s="47" t="s">
        <v>244</v>
      </c>
      <c r="D18" s="49">
        <v>4.5841238949000003</v>
      </c>
      <c r="E18" s="49">
        <v>6.1096165688999999</v>
      </c>
      <c r="F18" s="49">
        <v>4.7295114594000003</v>
      </c>
    </row>
    <row r="19" spans="1:6" x14ac:dyDescent="0.25">
      <c r="A19" s="47" t="s">
        <v>235</v>
      </c>
      <c r="B19" s="47" t="s">
        <v>228</v>
      </c>
      <c r="C19" s="47" t="s">
        <v>243</v>
      </c>
      <c r="D19" s="48">
        <v>3384472</v>
      </c>
      <c r="E19" s="48">
        <v>2823794</v>
      </c>
      <c r="F19" s="48">
        <v>6208266</v>
      </c>
    </row>
    <row r="20" spans="1:6" x14ac:dyDescent="0.25">
      <c r="A20" s="47" t="s">
        <v>235</v>
      </c>
      <c r="B20" s="47" t="s">
        <v>228</v>
      </c>
      <c r="C20" s="47" t="s">
        <v>244</v>
      </c>
      <c r="D20" s="49">
        <v>4.6053253213999996</v>
      </c>
      <c r="E20" s="49">
        <v>3.2164080671000002</v>
      </c>
      <c r="F20" s="49">
        <v>3.8492805848999998</v>
      </c>
    </row>
    <row r="21" spans="1:6" x14ac:dyDescent="0.25">
      <c r="A21" s="47" t="s">
        <v>235</v>
      </c>
      <c r="B21" s="47" t="s">
        <v>235</v>
      </c>
      <c r="C21" s="47" t="s">
        <v>243</v>
      </c>
      <c r="D21" s="48">
        <v>13371050</v>
      </c>
      <c r="E21" s="48">
        <v>4401708</v>
      </c>
      <c r="F21" s="48">
        <v>17772758</v>
      </c>
    </row>
    <row r="22" spans="1:6" x14ac:dyDescent="0.25">
      <c r="A22" s="47" t="s">
        <v>235</v>
      </c>
      <c r="B22" s="47" t="s">
        <v>235</v>
      </c>
      <c r="C22" s="47" t="s">
        <v>244</v>
      </c>
      <c r="D22" s="49">
        <v>4.4647376864000003</v>
      </c>
      <c r="E22" s="49">
        <v>3.8207347199999999</v>
      </c>
      <c r="F22" s="49">
        <v>4.2858247304999999</v>
      </c>
    </row>
    <row r="23" spans="1:6" x14ac:dyDescent="0.25">
      <c r="A23" s="36" t="s">
        <v>236</v>
      </c>
      <c r="B23" s="36" t="s">
        <v>227</v>
      </c>
      <c r="C23" s="36" t="s">
        <v>243</v>
      </c>
      <c r="D23" s="37">
        <v>6475235</v>
      </c>
      <c r="E23" s="37">
        <v>932251</v>
      </c>
      <c r="F23" s="37">
        <v>7407486</v>
      </c>
    </row>
    <row r="24" spans="1:6" x14ac:dyDescent="0.25">
      <c r="A24" s="36" t="s">
        <v>236</v>
      </c>
      <c r="B24" s="36" t="s">
        <v>227</v>
      </c>
      <c r="C24" s="36" t="s">
        <v>244</v>
      </c>
      <c r="D24" s="38">
        <v>3.9167673294999998</v>
      </c>
      <c r="E24" s="38">
        <v>5.684110725</v>
      </c>
      <c r="F24" s="38">
        <v>4.0762758918999999</v>
      </c>
    </row>
    <row r="25" spans="1:6" x14ac:dyDescent="0.25">
      <c r="A25" s="36" t="s">
        <v>236</v>
      </c>
      <c r="B25" s="36" t="s">
        <v>228</v>
      </c>
      <c r="C25" s="36" t="s">
        <v>243</v>
      </c>
      <c r="D25" s="37">
        <v>1804581</v>
      </c>
      <c r="E25" s="37">
        <v>961366</v>
      </c>
      <c r="F25" s="37">
        <v>2765947</v>
      </c>
    </row>
    <row r="26" spans="1:6" x14ac:dyDescent="0.25">
      <c r="A26" s="36" t="s">
        <v>236</v>
      </c>
      <c r="B26" s="36" t="s">
        <v>228</v>
      </c>
      <c r="C26" s="36" t="s">
        <v>244</v>
      </c>
      <c r="D26" s="38">
        <v>5.0754348167999996</v>
      </c>
      <c r="E26" s="38">
        <v>5.1440755961000004</v>
      </c>
      <c r="F26" s="38">
        <v>5.0990837696</v>
      </c>
    </row>
    <row r="27" spans="1:6" x14ac:dyDescent="0.25">
      <c r="A27" s="39" t="s">
        <v>236</v>
      </c>
      <c r="B27" s="39" t="s">
        <v>235</v>
      </c>
      <c r="C27" s="39" t="s">
        <v>243</v>
      </c>
      <c r="D27" s="40">
        <v>8279816</v>
      </c>
      <c r="E27" s="40">
        <v>1893617</v>
      </c>
      <c r="F27" s="40">
        <v>10173433</v>
      </c>
    </row>
    <row r="28" spans="1:6" x14ac:dyDescent="0.25">
      <c r="A28" s="50" t="s">
        <v>236</v>
      </c>
      <c r="B28" s="50" t="s">
        <v>235</v>
      </c>
      <c r="C28" s="50" t="s">
        <v>244</v>
      </c>
      <c r="D28" s="51">
        <v>4.1218522262999997</v>
      </c>
      <c r="E28" s="51">
        <v>5.3964884381999996</v>
      </c>
      <c r="F28" s="51">
        <v>4.3113996555999998</v>
      </c>
    </row>
    <row r="29" spans="1:6" x14ac:dyDescent="0.25">
      <c r="A29" s="45"/>
      <c r="B29" s="33"/>
      <c r="C29" s="33"/>
      <c r="D29" s="33"/>
      <c r="E29" s="33"/>
      <c r="F29" s="33"/>
    </row>
    <row r="30" spans="1:6" x14ac:dyDescent="0.25">
      <c r="A30" s="33" t="s">
        <v>239</v>
      </c>
      <c r="B30" s="33"/>
      <c r="C30" s="33"/>
      <c r="D30" s="33"/>
      <c r="E30" s="33"/>
      <c r="F30" s="33"/>
    </row>
    <row r="31" spans="1:6" x14ac:dyDescent="0.25">
      <c r="A31" s="46" t="s">
        <v>212</v>
      </c>
      <c r="B31" s="33"/>
      <c r="C31" s="33"/>
      <c r="D31" s="33"/>
      <c r="E31" s="33"/>
      <c r="F31" s="33"/>
    </row>
    <row r="32" spans="1:6" x14ac:dyDescent="0.25">
      <c r="A32" s="33"/>
      <c r="B32" s="33"/>
      <c r="C32" s="33"/>
      <c r="D32" s="33"/>
      <c r="E32" s="33"/>
      <c r="F32" s="33"/>
    </row>
    <row r="33" spans="1:6" x14ac:dyDescent="0.25">
      <c r="A33" s="46" t="s">
        <v>70</v>
      </c>
      <c r="B33" s="33"/>
      <c r="C33" s="33"/>
      <c r="D33" s="33"/>
      <c r="E33" s="33"/>
      <c r="F33" s="33"/>
    </row>
    <row r="34" spans="1:6" x14ac:dyDescent="0.25">
      <c r="A34" s="33"/>
      <c r="B34" s="33"/>
      <c r="C34" s="33"/>
      <c r="D34" s="33"/>
      <c r="E34" s="33"/>
      <c r="F34" s="33"/>
    </row>
    <row r="35" spans="1:6" x14ac:dyDescent="0.25">
      <c r="A35" s="46" t="s">
        <v>240</v>
      </c>
      <c r="B35" s="33"/>
      <c r="C35" s="33"/>
      <c r="D35" s="33"/>
      <c r="E35" s="33"/>
      <c r="F35" s="33"/>
    </row>
  </sheetData>
  <mergeCells count="1">
    <mergeCell ref="A1:F1"/>
  </mergeCells>
  <hyperlinks>
    <hyperlink ref="A31" r:id="rId1" xr:uid="{00000000-0004-0000-0300-000000000000}"/>
    <hyperlink ref="A33" location="'Technical specifications'!A1" display="Technical specifications" xr:uid="{00000000-0004-0000-0300-000001000000}"/>
    <hyperlink ref="A35" location="Contents!A1" display="Back to contents" xr:uid="{00000000-0004-0000-03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2"/>
  <sheetViews>
    <sheetView topLeftCell="A8" workbookViewId="0">
      <selection sqref="A1:D1"/>
    </sheetView>
  </sheetViews>
  <sheetFormatPr defaultRowHeight="15" x14ac:dyDescent="0.25"/>
  <cols>
    <col min="1" max="1" width="70" customWidth="1"/>
    <col min="2" max="4" width="20" customWidth="1"/>
  </cols>
  <sheetData>
    <row r="1" spans="1:4" ht="33.75" customHeight="1" x14ac:dyDescent="0.25">
      <c r="A1" s="74" t="s">
        <v>4</v>
      </c>
      <c r="B1" s="75"/>
      <c r="C1" s="75"/>
      <c r="D1" s="75"/>
    </row>
    <row r="2" spans="1:4" x14ac:dyDescent="0.25">
      <c r="A2" s="34" t="s">
        <v>247</v>
      </c>
      <c r="B2" s="35" t="s">
        <v>224</v>
      </c>
      <c r="C2" s="35" t="s">
        <v>237</v>
      </c>
      <c r="D2" s="35" t="s">
        <v>238</v>
      </c>
    </row>
    <row r="3" spans="1:4" x14ac:dyDescent="0.25">
      <c r="A3" s="36" t="s">
        <v>248</v>
      </c>
      <c r="B3" s="37">
        <v>10220</v>
      </c>
      <c r="C3" s="37">
        <v>860</v>
      </c>
      <c r="D3" s="37">
        <v>11080</v>
      </c>
    </row>
    <row r="4" spans="1:4" x14ac:dyDescent="0.25">
      <c r="A4" s="36" t="s">
        <v>249</v>
      </c>
      <c r="B4" s="37">
        <v>393254</v>
      </c>
      <c r="C4" s="37">
        <v>105615</v>
      </c>
      <c r="D4" s="37">
        <v>498869</v>
      </c>
    </row>
    <row r="5" spans="1:4" x14ac:dyDescent="0.25">
      <c r="A5" s="36" t="s">
        <v>250</v>
      </c>
      <c r="B5" s="37">
        <v>162067</v>
      </c>
      <c r="C5" s="37">
        <v>382812</v>
      </c>
      <c r="D5" s="37">
        <v>544879</v>
      </c>
    </row>
    <row r="6" spans="1:4" x14ac:dyDescent="0.25">
      <c r="A6" s="36" t="s">
        <v>251</v>
      </c>
      <c r="B6" s="37">
        <v>254856</v>
      </c>
      <c r="C6" s="37">
        <v>275798</v>
      </c>
      <c r="D6" s="37">
        <v>530654</v>
      </c>
    </row>
    <row r="7" spans="1:4" x14ac:dyDescent="0.25">
      <c r="A7" s="36" t="s">
        <v>252</v>
      </c>
      <c r="B7" s="37">
        <v>426136</v>
      </c>
      <c r="C7" s="37">
        <v>103136</v>
      </c>
      <c r="D7" s="37">
        <v>529272</v>
      </c>
    </row>
    <row r="8" spans="1:4" x14ac:dyDescent="0.25">
      <c r="A8" s="36" t="s">
        <v>253</v>
      </c>
      <c r="B8" s="37">
        <v>504844</v>
      </c>
      <c r="C8" s="37">
        <v>212113</v>
      </c>
      <c r="D8" s="37">
        <v>716957</v>
      </c>
    </row>
    <row r="9" spans="1:4" x14ac:dyDescent="0.25">
      <c r="A9" s="36" t="s">
        <v>254</v>
      </c>
      <c r="B9" s="37">
        <v>774666</v>
      </c>
      <c r="C9" s="37">
        <v>819691</v>
      </c>
      <c r="D9" s="37">
        <v>1594357</v>
      </c>
    </row>
    <row r="10" spans="1:4" x14ac:dyDescent="0.25">
      <c r="A10" s="36" t="s">
        <v>255</v>
      </c>
      <c r="B10" s="37">
        <v>135765</v>
      </c>
      <c r="C10" s="37">
        <v>45413</v>
      </c>
      <c r="D10" s="37">
        <v>181178</v>
      </c>
    </row>
    <row r="11" spans="1:4" x14ac:dyDescent="0.25">
      <c r="A11" s="36" t="s">
        <v>256</v>
      </c>
      <c r="B11" s="37">
        <v>501329</v>
      </c>
      <c r="C11" s="37">
        <v>478135</v>
      </c>
      <c r="D11" s="37">
        <v>979464</v>
      </c>
    </row>
    <row r="12" spans="1:4" x14ac:dyDescent="0.25">
      <c r="A12" s="36" t="s">
        <v>257</v>
      </c>
      <c r="B12" s="37">
        <v>278612</v>
      </c>
      <c r="C12" s="37">
        <v>233158</v>
      </c>
      <c r="D12" s="37">
        <v>511770</v>
      </c>
    </row>
    <row r="13" spans="1:4" x14ac:dyDescent="0.25">
      <c r="A13" s="36" t="s">
        <v>258</v>
      </c>
      <c r="B13" s="37">
        <v>151675</v>
      </c>
      <c r="C13" s="37">
        <v>94419</v>
      </c>
      <c r="D13" s="37">
        <v>246094</v>
      </c>
    </row>
    <row r="14" spans="1:4" x14ac:dyDescent="0.25">
      <c r="A14" s="36" t="s">
        <v>259</v>
      </c>
      <c r="B14" s="37">
        <v>1721383</v>
      </c>
      <c r="C14" s="37">
        <v>512710</v>
      </c>
      <c r="D14" s="37">
        <v>2234093</v>
      </c>
    </row>
    <row r="15" spans="1:4" x14ac:dyDescent="0.25">
      <c r="A15" s="36" t="s">
        <v>260</v>
      </c>
      <c r="B15" s="37">
        <v>59542</v>
      </c>
      <c r="C15" s="37">
        <v>85637</v>
      </c>
      <c r="D15" s="37">
        <v>145179</v>
      </c>
    </row>
    <row r="16" spans="1:4" x14ac:dyDescent="0.25">
      <c r="A16" s="36" t="s">
        <v>261</v>
      </c>
      <c r="B16" s="37">
        <v>148216</v>
      </c>
      <c r="C16" s="37">
        <v>218082</v>
      </c>
      <c r="D16" s="37">
        <v>366298</v>
      </c>
    </row>
    <row r="17" spans="1:4" x14ac:dyDescent="0.25">
      <c r="A17" s="36" t="s">
        <v>262</v>
      </c>
      <c r="B17" s="37">
        <v>445968</v>
      </c>
      <c r="C17" s="37">
        <v>102377</v>
      </c>
      <c r="D17" s="37">
        <v>548345</v>
      </c>
    </row>
    <row r="18" spans="1:4" x14ac:dyDescent="0.25">
      <c r="A18" s="36" t="s">
        <v>263</v>
      </c>
      <c r="B18" s="37">
        <v>13370</v>
      </c>
      <c r="C18" s="37">
        <v>430</v>
      </c>
      <c r="D18" s="37">
        <v>13800</v>
      </c>
    </row>
    <row r="19" spans="1:4" x14ac:dyDescent="0.25">
      <c r="A19" s="36" t="s">
        <v>264</v>
      </c>
      <c r="B19" s="37">
        <v>156511</v>
      </c>
      <c r="C19" s="37">
        <v>90381</v>
      </c>
      <c r="D19" s="37">
        <v>246892</v>
      </c>
    </row>
    <row r="20" spans="1:4" x14ac:dyDescent="0.25">
      <c r="A20" s="36" t="s">
        <v>265</v>
      </c>
      <c r="B20" s="37">
        <v>418488</v>
      </c>
      <c r="C20" s="37">
        <v>434216</v>
      </c>
      <c r="D20" s="37">
        <v>852704</v>
      </c>
    </row>
    <row r="21" spans="1:4" x14ac:dyDescent="0.25">
      <c r="A21" s="36" t="s">
        <v>266</v>
      </c>
      <c r="B21" s="37">
        <v>114649</v>
      </c>
      <c r="C21" s="37">
        <v>15215</v>
      </c>
      <c r="D21" s="37">
        <v>129864</v>
      </c>
    </row>
    <row r="22" spans="1:4" x14ac:dyDescent="0.25">
      <c r="A22" s="36" t="s">
        <v>267</v>
      </c>
      <c r="B22" s="37">
        <v>44011</v>
      </c>
      <c r="C22" s="37">
        <v>7654</v>
      </c>
      <c r="D22" s="37">
        <v>51665</v>
      </c>
    </row>
    <row r="23" spans="1:4" x14ac:dyDescent="0.25">
      <c r="A23" s="36" t="s">
        <v>268</v>
      </c>
      <c r="B23" s="37">
        <v>8259</v>
      </c>
      <c r="C23" s="37">
        <v>244</v>
      </c>
      <c r="D23" s="37">
        <v>8503</v>
      </c>
    </row>
    <row r="24" spans="1:4" x14ac:dyDescent="0.25">
      <c r="A24" s="36" t="s">
        <v>269</v>
      </c>
      <c r="B24" s="37">
        <v>217290</v>
      </c>
      <c r="C24" s="37">
        <v>26732</v>
      </c>
      <c r="D24" s="37">
        <v>244022</v>
      </c>
    </row>
    <row r="25" spans="1:4" x14ac:dyDescent="0.25">
      <c r="A25" s="36" t="s">
        <v>270</v>
      </c>
      <c r="B25" s="37">
        <v>8786</v>
      </c>
      <c r="C25" s="37">
        <v>194</v>
      </c>
      <c r="D25" s="37">
        <v>8980</v>
      </c>
    </row>
    <row r="26" spans="1:4" x14ac:dyDescent="0.25">
      <c r="A26" s="36" t="s">
        <v>271</v>
      </c>
      <c r="B26" s="37">
        <v>199468</v>
      </c>
      <c r="C26" s="37">
        <v>211237</v>
      </c>
      <c r="D26" s="37">
        <v>410705</v>
      </c>
    </row>
    <row r="27" spans="1:4" x14ac:dyDescent="0.25">
      <c r="A27" s="36" t="s">
        <v>272</v>
      </c>
      <c r="B27" s="37">
        <v>5783</v>
      </c>
      <c r="C27" s="37">
        <v>4040</v>
      </c>
      <c r="D27" s="37">
        <v>9823</v>
      </c>
    </row>
    <row r="28" spans="1:4" x14ac:dyDescent="0.25">
      <c r="A28" s="39" t="s">
        <v>236</v>
      </c>
      <c r="B28" s="40">
        <v>5261973</v>
      </c>
      <c r="C28" s="40">
        <v>1620215</v>
      </c>
      <c r="D28" s="40">
        <v>6882188</v>
      </c>
    </row>
    <row r="29" spans="1:4" x14ac:dyDescent="0.25">
      <c r="A29" s="39" t="s">
        <v>229</v>
      </c>
      <c r="B29" s="40">
        <v>509358</v>
      </c>
      <c r="C29" s="40">
        <v>1032974</v>
      </c>
      <c r="D29" s="40">
        <v>1542332</v>
      </c>
    </row>
    <row r="30" spans="1:4" x14ac:dyDescent="0.25">
      <c r="A30" s="39" t="s">
        <v>226</v>
      </c>
      <c r="B30" s="40">
        <v>1204414</v>
      </c>
      <c r="C30" s="40">
        <v>1753226</v>
      </c>
      <c r="D30" s="40">
        <v>2957640</v>
      </c>
    </row>
    <row r="31" spans="1:4" x14ac:dyDescent="0.25">
      <c r="A31" s="47" t="s">
        <v>235</v>
      </c>
      <c r="B31" s="48">
        <v>7196207</v>
      </c>
      <c r="C31" s="48">
        <v>4464975</v>
      </c>
      <c r="D31" s="48">
        <v>11661182</v>
      </c>
    </row>
    <row r="32" spans="1:4" x14ac:dyDescent="0.25">
      <c r="A32" s="47" t="s">
        <v>235</v>
      </c>
      <c r="B32" s="48">
        <v>6975745</v>
      </c>
      <c r="C32" s="48">
        <v>4406415</v>
      </c>
      <c r="D32" s="48">
        <v>11382160</v>
      </c>
    </row>
    <row r="33" spans="1:4" x14ac:dyDescent="0.25">
      <c r="A33" s="52" t="s">
        <v>273</v>
      </c>
      <c r="B33" s="53">
        <v>41059</v>
      </c>
      <c r="C33" s="53">
        <v>4676</v>
      </c>
      <c r="D33" s="53">
        <v>45735</v>
      </c>
    </row>
    <row r="34" spans="1:4" x14ac:dyDescent="0.25">
      <c r="A34" s="76" t="s">
        <v>274</v>
      </c>
      <c r="B34" s="77"/>
      <c r="C34" s="77"/>
      <c r="D34" s="77"/>
    </row>
    <row r="35" spans="1:4" x14ac:dyDescent="0.25">
      <c r="A35" s="76" t="s">
        <v>275</v>
      </c>
      <c r="B35" s="77"/>
      <c r="C35" s="77"/>
      <c r="D35" s="77"/>
    </row>
    <row r="36" spans="1:4" x14ac:dyDescent="0.25">
      <c r="A36" s="45"/>
      <c r="B36" s="33"/>
      <c r="C36" s="33"/>
      <c r="D36" s="33"/>
    </row>
    <row r="37" spans="1:4" x14ac:dyDescent="0.25">
      <c r="A37" s="33" t="s">
        <v>239</v>
      </c>
      <c r="B37" s="33"/>
      <c r="C37" s="33"/>
      <c r="D37" s="33"/>
    </row>
    <row r="38" spans="1:4" x14ac:dyDescent="0.25">
      <c r="A38" s="46" t="s">
        <v>212</v>
      </c>
      <c r="B38" s="33"/>
      <c r="C38" s="33"/>
      <c r="D38" s="33"/>
    </row>
    <row r="39" spans="1:4" x14ac:dyDescent="0.25">
      <c r="A39" s="33"/>
      <c r="B39" s="33"/>
      <c r="C39" s="33"/>
      <c r="D39" s="33"/>
    </row>
    <row r="40" spans="1:4" x14ac:dyDescent="0.25">
      <c r="A40" s="46" t="s">
        <v>70</v>
      </c>
      <c r="B40" s="33"/>
      <c r="C40" s="33"/>
      <c r="D40" s="33"/>
    </row>
    <row r="41" spans="1:4" x14ac:dyDescent="0.25">
      <c r="A41" s="33"/>
      <c r="B41" s="33"/>
      <c r="C41" s="33"/>
      <c r="D41" s="33"/>
    </row>
    <row r="42" spans="1:4" x14ac:dyDescent="0.25">
      <c r="A42" s="46" t="s">
        <v>240</v>
      </c>
      <c r="B42" s="33"/>
      <c r="C42" s="33"/>
      <c r="D42" s="33"/>
    </row>
  </sheetData>
  <mergeCells count="3">
    <mergeCell ref="A1:D1"/>
    <mergeCell ref="A35:D35"/>
    <mergeCell ref="A34:D34"/>
  </mergeCells>
  <hyperlinks>
    <hyperlink ref="A38" r:id="rId1" xr:uid="{00000000-0004-0000-0400-000000000000}"/>
    <hyperlink ref="A40" location="'Technical specifications'!A1" display="Technical specifications" xr:uid="{00000000-0004-0000-0400-000001000000}"/>
    <hyperlink ref="A42" location="Contents!A1" display="Back to contents" xr:uid="{00000000-0004-0000-0400-000002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2"/>
  <sheetViews>
    <sheetView workbookViewId="0">
      <selection sqref="A1:E1"/>
    </sheetView>
  </sheetViews>
  <sheetFormatPr defaultRowHeight="15" x14ac:dyDescent="0.25"/>
  <cols>
    <col min="1" max="1" width="80" customWidth="1"/>
    <col min="2" max="5" width="20" customWidth="1"/>
  </cols>
  <sheetData>
    <row r="1" spans="1:5" ht="33.75" customHeight="1" x14ac:dyDescent="0.25">
      <c r="A1" s="74" t="s">
        <v>5</v>
      </c>
      <c r="B1" s="75"/>
      <c r="C1" s="75"/>
      <c r="D1" s="75"/>
      <c r="E1" s="75"/>
    </row>
    <row r="2" spans="1:5" ht="23.25" x14ac:dyDescent="0.25">
      <c r="A2" s="34" t="s">
        <v>276</v>
      </c>
      <c r="B2" s="35" t="s">
        <v>224</v>
      </c>
      <c r="C2" s="35" t="s">
        <v>277</v>
      </c>
      <c r="D2" s="35" t="s">
        <v>278</v>
      </c>
      <c r="E2" s="35" t="s">
        <v>235</v>
      </c>
    </row>
    <row r="3" spans="1:5" x14ac:dyDescent="0.25">
      <c r="A3" s="36" t="s">
        <v>279</v>
      </c>
      <c r="B3" s="37">
        <v>1398725</v>
      </c>
      <c r="C3" s="37">
        <v>199701</v>
      </c>
      <c r="D3" s="37">
        <v>148551</v>
      </c>
      <c r="E3" s="37">
        <v>1746977</v>
      </c>
    </row>
    <row r="4" spans="1:5" x14ac:dyDescent="0.25">
      <c r="A4" s="36" t="s">
        <v>280</v>
      </c>
      <c r="B4" s="37">
        <v>347624</v>
      </c>
      <c r="C4" s="37">
        <v>100381</v>
      </c>
      <c r="D4" s="37">
        <v>287977</v>
      </c>
      <c r="E4" s="37">
        <v>735982</v>
      </c>
    </row>
    <row r="5" spans="1:5" x14ac:dyDescent="0.25">
      <c r="A5" s="36" t="s">
        <v>281</v>
      </c>
      <c r="B5" s="37">
        <v>97800</v>
      </c>
      <c r="C5" s="37">
        <v>78044</v>
      </c>
      <c r="D5" s="37">
        <v>174968</v>
      </c>
      <c r="E5" s="37">
        <v>350812</v>
      </c>
    </row>
    <row r="6" spans="1:5" x14ac:dyDescent="0.25">
      <c r="A6" s="36" t="s">
        <v>282</v>
      </c>
      <c r="B6" s="37">
        <v>88106</v>
      </c>
      <c r="C6" s="37">
        <v>137139</v>
      </c>
      <c r="D6" s="37">
        <v>95825</v>
      </c>
      <c r="E6" s="37">
        <v>321070</v>
      </c>
    </row>
    <row r="7" spans="1:5" x14ac:dyDescent="0.25">
      <c r="A7" s="36" t="s">
        <v>283</v>
      </c>
      <c r="B7" s="37">
        <v>53062</v>
      </c>
      <c r="C7" s="37">
        <v>73597</v>
      </c>
      <c r="D7" s="37">
        <v>151899</v>
      </c>
      <c r="E7" s="37">
        <v>278558</v>
      </c>
    </row>
    <row r="8" spans="1:5" x14ac:dyDescent="0.25">
      <c r="A8" s="36" t="s">
        <v>284</v>
      </c>
      <c r="B8" s="37">
        <v>44413</v>
      </c>
      <c r="C8" s="37">
        <v>40797</v>
      </c>
      <c r="D8" s="37">
        <v>83642</v>
      </c>
      <c r="E8" s="37">
        <v>168852</v>
      </c>
    </row>
    <row r="9" spans="1:5" x14ac:dyDescent="0.25">
      <c r="A9" s="36" t="s">
        <v>285</v>
      </c>
      <c r="B9" s="37">
        <v>60723</v>
      </c>
      <c r="C9" s="37">
        <v>26611</v>
      </c>
      <c r="D9" s="37">
        <v>79812</v>
      </c>
      <c r="E9" s="37">
        <v>167146</v>
      </c>
    </row>
    <row r="10" spans="1:5" x14ac:dyDescent="0.25">
      <c r="A10" s="36" t="s">
        <v>286</v>
      </c>
      <c r="B10" s="37">
        <v>19164</v>
      </c>
      <c r="C10" s="37">
        <v>37646</v>
      </c>
      <c r="D10" s="37">
        <v>79665</v>
      </c>
      <c r="E10" s="37">
        <v>136475</v>
      </c>
    </row>
    <row r="11" spans="1:5" x14ac:dyDescent="0.25">
      <c r="A11" s="36" t="s">
        <v>287</v>
      </c>
      <c r="B11" s="37">
        <v>55637</v>
      </c>
      <c r="C11" s="37">
        <v>5677</v>
      </c>
      <c r="D11" s="37">
        <v>54019</v>
      </c>
      <c r="E11" s="37">
        <v>115333</v>
      </c>
    </row>
    <row r="12" spans="1:5" x14ac:dyDescent="0.25">
      <c r="A12" s="36" t="s">
        <v>288</v>
      </c>
      <c r="B12" s="37">
        <v>16216</v>
      </c>
      <c r="C12" s="37">
        <v>67863</v>
      </c>
      <c r="D12" s="37">
        <v>10763</v>
      </c>
      <c r="E12" s="37">
        <v>94842</v>
      </c>
    </row>
    <row r="13" spans="1:5" x14ac:dyDescent="0.25">
      <c r="A13" s="36" t="s">
        <v>289</v>
      </c>
      <c r="B13" s="37">
        <v>32026</v>
      </c>
      <c r="C13" s="37">
        <v>20633</v>
      </c>
      <c r="D13" s="37">
        <v>33723</v>
      </c>
      <c r="E13" s="37">
        <v>86382</v>
      </c>
    </row>
    <row r="14" spans="1:5" x14ac:dyDescent="0.25">
      <c r="A14" s="36" t="s">
        <v>290</v>
      </c>
      <c r="B14" s="37">
        <v>16356</v>
      </c>
      <c r="C14" s="37">
        <v>29999</v>
      </c>
      <c r="D14" s="37">
        <v>38581</v>
      </c>
      <c r="E14" s="37">
        <v>84936</v>
      </c>
    </row>
    <row r="15" spans="1:5" x14ac:dyDescent="0.25">
      <c r="A15" s="36" t="s">
        <v>291</v>
      </c>
      <c r="B15" s="37">
        <v>24455</v>
      </c>
      <c r="C15" s="37">
        <v>6928</v>
      </c>
      <c r="D15" s="37">
        <v>49517</v>
      </c>
      <c r="E15" s="37">
        <v>80900</v>
      </c>
    </row>
    <row r="16" spans="1:5" x14ac:dyDescent="0.25">
      <c r="A16" s="36" t="s">
        <v>292</v>
      </c>
      <c r="B16" s="37">
        <v>72450</v>
      </c>
      <c r="C16" s="37">
        <v>41</v>
      </c>
      <c r="D16" s="37">
        <v>7810</v>
      </c>
      <c r="E16" s="37">
        <v>80301</v>
      </c>
    </row>
    <row r="17" spans="1:5" x14ac:dyDescent="0.25">
      <c r="A17" s="36" t="s">
        <v>293</v>
      </c>
      <c r="B17" s="37">
        <v>55158</v>
      </c>
      <c r="C17" s="37">
        <v>1569</v>
      </c>
      <c r="D17" s="37">
        <v>22309</v>
      </c>
      <c r="E17" s="37">
        <v>79036</v>
      </c>
    </row>
    <row r="18" spans="1:5" x14ac:dyDescent="0.25">
      <c r="A18" s="36" t="s">
        <v>294</v>
      </c>
      <c r="B18" s="37">
        <v>63410</v>
      </c>
      <c r="C18" s="37">
        <v>193</v>
      </c>
      <c r="D18" s="37">
        <v>1362</v>
      </c>
      <c r="E18" s="37">
        <v>64965</v>
      </c>
    </row>
    <row r="19" spans="1:5" x14ac:dyDescent="0.25">
      <c r="A19" s="36" t="s">
        <v>295</v>
      </c>
      <c r="B19" s="37">
        <v>29291</v>
      </c>
      <c r="C19" s="37">
        <v>1999</v>
      </c>
      <c r="D19" s="37">
        <v>31346</v>
      </c>
      <c r="E19" s="37">
        <v>62636</v>
      </c>
    </row>
    <row r="20" spans="1:5" x14ac:dyDescent="0.25">
      <c r="A20" s="36" t="s">
        <v>296</v>
      </c>
      <c r="B20" s="37">
        <v>34283</v>
      </c>
      <c r="C20" s="37">
        <v>7983</v>
      </c>
      <c r="D20" s="37">
        <v>17981</v>
      </c>
      <c r="E20" s="37">
        <v>60247</v>
      </c>
    </row>
    <row r="21" spans="1:5" x14ac:dyDescent="0.25">
      <c r="A21" s="36" t="s">
        <v>297</v>
      </c>
      <c r="B21" s="37">
        <v>14003</v>
      </c>
      <c r="C21" s="37">
        <v>17244</v>
      </c>
      <c r="D21" s="37">
        <v>26688</v>
      </c>
      <c r="E21" s="37">
        <v>57935</v>
      </c>
    </row>
    <row r="22" spans="1:5" x14ac:dyDescent="0.25">
      <c r="A22" s="36" t="s">
        <v>298</v>
      </c>
      <c r="B22" s="37">
        <v>26129</v>
      </c>
      <c r="C22" s="37">
        <v>3752</v>
      </c>
      <c r="D22" s="37">
        <v>26280</v>
      </c>
      <c r="E22" s="37">
        <v>56161</v>
      </c>
    </row>
    <row r="23" spans="1:5" x14ac:dyDescent="0.25">
      <c r="A23" s="36" t="s">
        <v>183</v>
      </c>
      <c r="B23" s="37">
        <v>1723902</v>
      </c>
      <c r="C23" s="37">
        <v>254530</v>
      </c>
      <c r="D23" s="37">
        <v>787958</v>
      </c>
      <c r="E23" s="37">
        <v>2766390</v>
      </c>
    </row>
    <row r="24" spans="1:5" x14ac:dyDescent="0.25">
      <c r="A24" s="42" t="s">
        <v>235</v>
      </c>
      <c r="B24" s="43">
        <v>4272933</v>
      </c>
      <c r="C24" s="43">
        <v>1112327</v>
      </c>
      <c r="D24" s="43">
        <v>2210676</v>
      </c>
      <c r="E24" s="43">
        <v>7595936</v>
      </c>
    </row>
    <row r="25" spans="1:5" x14ac:dyDescent="0.25">
      <c r="A25" s="76" t="s">
        <v>299</v>
      </c>
      <c r="B25" s="77"/>
      <c r="C25" s="77"/>
      <c r="D25" s="77"/>
      <c r="E25" s="77"/>
    </row>
    <row r="26" spans="1:5" x14ac:dyDescent="0.25">
      <c r="A26" s="45"/>
      <c r="B26" s="33"/>
      <c r="C26" s="33"/>
      <c r="D26" s="33"/>
      <c r="E26" s="33"/>
    </row>
    <row r="27" spans="1:5" x14ac:dyDescent="0.25">
      <c r="A27" s="33" t="s">
        <v>239</v>
      </c>
      <c r="B27" s="33"/>
      <c r="C27" s="33"/>
      <c r="D27" s="33"/>
      <c r="E27" s="33"/>
    </row>
    <row r="28" spans="1:5" x14ac:dyDescent="0.25">
      <c r="A28" s="46" t="s">
        <v>212</v>
      </c>
      <c r="B28" s="33"/>
      <c r="C28" s="33"/>
      <c r="D28" s="33"/>
      <c r="E28" s="33"/>
    </row>
    <row r="29" spans="1:5" x14ac:dyDescent="0.25">
      <c r="A29" s="33"/>
      <c r="B29" s="33"/>
      <c r="C29" s="33"/>
      <c r="D29" s="33"/>
      <c r="E29" s="33"/>
    </row>
    <row r="30" spans="1:5" x14ac:dyDescent="0.25">
      <c r="A30" s="46" t="s">
        <v>70</v>
      </c>
      <c r="B30" s="33"/>
      <c r="C30" s="33"/>
      <c r="D30" s="33"/>
      <c r="E30" s="33"/>
    </row>
    <row r="31" spans="1:5" x14ac:dyDescent="0.25">
      <c r="A31" s="33"/>
      <c r="B31" s="33"/>
      <c r="C31" s="33"/>
      <c r="D31" s="33"/>
      <c r="E31" s="33"/>
    </row>
    <row r="32" spans="1:5" x14ac:dyDescent="0.25">
      <c r="A32" s="46" t="s">
        <v>240</v>
      </c>
      <c r="B32" s="33"/>
      <c r="C32" s="33"/>
      <c r="D32" s="33"/>
      <c r="E32" s="33"/>
    </row>
  </sheetData>
  <mergeCells count="2">
    <mergeCell ref="A1:E1"/>
    <mergeCell ref="A25:E25"/>
  </mergeCells>
  <hyperlinks>
    <hyperlink ref="A28" r:id="rId1" xr:uid="{00000000-0004-0000-0500-000000000000}"/>
    <hyperlink ref="A30" location="'Technical specifications'!A1" display="Technical specifications" xr:uid="{00000000-0004-0000-0500-000001000000}"/>
    <hyperlink ref="A32" location="Contents!A1" display="Back to contents" xr:uid="{00000000-0004-0000-0500-000002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2"/>
  <sheetViews>
    <sheetView workbookViewId="0">
      <selection sqref="A1:D1"/>
    </sheetView>
  </sheetViews>
  <sheetFormatPr defaultRowHeight="15" x14ac:dyDescent="0.25"/>
  <cols>
    <col min="1" max="1" width="60" customWidth="1"/>
    <col min="2" max="4" width="20" customWidth="1"/>
  </cols>
  <sheetData>
    <row r="1" spans="1:4" ht="33.75" customHeight="1" x14ac:dyDescent="0.25">
      <c r="A1" s="74" t="s">
        <v>6</v>
      </c>
      <c r="B1" s="75"/>
      <c r="C1" s="75"/>
      <c r="D1" s="75"/>
    </row>
    <row r="2" spans="1:4" x14ac:dyDescent="0.25">
      <c r="A2" s="34" t="s">
        <v>276</v>
      </c>
      <c r="B2" s="35" t="s">
        <v>224</v>
      </c>
      <c r="C2" s="35" t="s">
        <v>237</v>
      </c>
      <c r="D2" s="35" t="s">
        <v>238</v>
      </c>
    </row>
    <row r="3" spans="1:4" x14ac:dyDescent="0.25">
      <c r="A3" s="36" t="s">
        <v>300</v>
      </c>
      <c r="B3" s="37">
        <v>59885</v>
      </c>
      <c r="C3" s="37">
        <v>7100</v>
      </c>
      <c r="D3" s="37">
        <v>66985</v>
      </c>
    </row>
    <row r="4" spans="1:4" x14ac:dyDescent="0.25">
      <c r="A4" s="36" t="s">
        <v>301</v>
      </c>
      <c r="B4" s="37">
        <v>53805</v>
      </c>
      <c r="C4" s="37">
        <v>12607</v>
      </c>
      <c r="D4" s="37">
        <v>66412</v>
      </c>
    </row>
    <row r="5" spans="1:4" x14ac:dyDescent="0.25">
      <c r="A5" s="36" t="s">
        <v>302</v>
      </c>
      <c r="B5" s="37">
        <v>14217</v>
      </c>
      <c r="C5" s="37">
        <v>42876</v>
      </c>
      <c r="D5" s="37">
        <v>57093</v>
      </c>
    </row>
    <row r="6" spans="1:4" x14ac:dyDescent="0.25">
      <c r="A6" s="36" t="s">
        <v>303</v>
      </c>
      <c r="B6" s="37">
        <v>32379</v>
      </c>
      <c r="C6" s="37">
        <v>22073</v>
      </c>
      <c r="D6" s="37">
        <v>54452</v>
      </c>
    </row>
    <row r="7" spans="1:4" x14ac:dyDescent="0.25">
      <c r="A7" s="36" t="s">
        <v>304</v>
      </c>
      <c r="B7" s="37">
        <v>47684</v>
      </c>
      <c r="C7" s="37">
        <v>6020</v>
      </c>
      <c r="D7" s="37">
        <v>53704</v>
      </c>
    </row>
    <row r="8" spans="1:4" x14ac:dyDescent="0.25">
      <c r="A8" s="36" t="s">
        <v>305</v>
      </c>
      <c r="B8" s="37">
        <v>40726</v>
      </c>
      <c r="C8" s="37">
        <v>7274</v>
      </c>
      <c r="D8" s="37">
        <v>48000</v>
      </c>
    </row>
    <row r="9" spans="1:4" x14ac:dyDescent="0.25">
      <c r="A9" s="36" t="s">
        <v>306</v>
      </c>
      <c r="B9" s="37">
        <v>37985</v>
      </c>
      <c r="C9" s="37">
        <v>9830</v>
      </c>
      <c r="D9" s="37">
        <v>47815</v>
      </c>
    </row>
    <row r="10" spans="1:4" x14ac:dyDescent="0.25">
      <c r="A10" s="36" t="s">
        <v>307</v>
      </c>
      <c r="B10" s="37">
        <v>26628</v>
      </c>
      <c r="C10" s="37">
        <v>20570</v>
      </c>
      <c r="D10" s="37">
        <v>47198</v>
      </c>
    </row>
    <row r="11" spans="1:4" x14ac:dyDescent="0.25">
      <c r="A11" s="36" t="s">
        <v>308</v>
      </c>
      <c r="B11" s="37">
        <v>34740</v>
      </c>
      <c r="C11" s="37">
        <v>8659</v>
      </c>
      <c r="D11" s="37">
        <v>43399</v>
      </c>
    </row>
    <row r="12" spans="1:4" x14ac:dyDescent="0.25">
      <c r="A12" s="36" t="s">
        <v>309</v>
      </c>
      <c r="B12" s="37">
        <v>10094</v>
      </c>
      <c r="C12" s="37">
        <v>29642</v>
      </c>
      <c r="D12" s="37">
        <v>39736</v>
      </c>
    </row>
    <row r="13" spans="1:4" x14ac:dyDescent="0.25">
      <c r="A13" s="36" t="s">
        <v>310</v>
      </c>
      <c r="B13" s="37">
        <v>14074</v>
      </c>
      <c r="C13" s="37">
        <v>25255</v>
      </c>
      <c r="D13" s="37">
        <v>39329</v>
      </c>
    </row>
    <row r="14" spans="1:4" x14ac:dyDescent="0.25">
      <c r="A14" s="36" t="s">
        <v>311</v>
      </c>
      <c r="B14" s="37">
        <v>13934</v>
      </c>
      <c r="C14" s="37">
        <v>24004</v>
      </c>
      <c r="D14" s="37">
        <v>37938</v>
      </c>
    </row>
    <row r="15" spans="1:4" x14ac:dyDescent="0.25">
      <c r="A15" s="36" t="s">
        <v>312</v>
      </c>
      <c r="B15" s="37">
        <v>30988</v>
      </c>
      <c r="C15" s="37">
        <v>5046</v>
      </c>
      <c r="D15" s="37">
        <v>36034</v>
      </c>
    </row>
    <row r="16" spans="1:4" x14ac:dyDescent="0.25">
      <c r="A16" s="36" t="s">
        <v>313</v>
      </c>
      <c r="B16" s="37">
        <v>8231</v>
      </c>
      <c r="C16" s="37">
        <v>27693</v>
      </c>
      <c r="D16" s="37">
        <v>35924</v>
      </c>
    </row>
    <row r="17" spans="1:4" x14ac:dyDescent="0.25">
      <c r="A17" s="36" t="s">
        <v>314</v>
      </c>
      <c r="B17" s="37">
        <v>30386</v>
      </c>
      <c r="C17" s="37">
        <v>4330</v>
      </c>
      <c r="D17" s="37">
        <v>34716</v>
      </c>
    </row>
    <row r="18" spans="1:4" x14ac:dyDescent="0.25">
      <c r="A18" s="36" t="s">
        <v>315</v>
      </c>
      <c r="B18" s="37">
        <v>28501</v>
      </c>
      <c r="C18" s="37">
        <v>6164</v>
      </c>
      <c r="D18" s="37">
        <v>34665</v>
      </c>
    </row>
    <row r="19" spans="1:4" x14ac:dyDescent="0.25">
      <c r="A19" s="36" t="s">
        <v>316</v>
      </c>
      <c r="B19" s="37">
        <v>31032</v>
      </c>
      <c r="C19" s="37">
        <v>3473</v>
      </c>
      <c r="D19" s="37">
        <v>34505</v>
      </c>
    </row>
    <row r="20" spans="1:4" x14ac:dyDescent="0.25">
      <c r="A20" s="36" t="s">
        <v>317</v>
      </c>
      <c r="B20" s="37">
        <v>28072</v>
      </c>
      <c r="C20" s="37">
        <v>6280</v>
      </c>
      <c r="D20" s="37">
        <v>34352</v>
      </c>
    </row>
    <row r="21" spans="1:4" x14ac:dyDescent="0.25">
      <c r="A21" s="36" t="s">
        <v>318</v>
      </c>
      <c r="B21" s="37">
        <v>30202</v>
      </c>
      <c r="C21" s="37">
        <v>3995</v>
      </c>
      <c r="D21" s="37">
        <v>34197</v>
      </c>
    </row>
    <row r="22" spans="1:4" x14ac:dyDescent="0.25">
      <c r="A22" s="36" t="s">
        <v>291</v>
      </c>
      <c r="B22" s="37">
        <v>21363</v>
      </c>
      <c r="C22" s="37">
        <v>10459</v>
      </c>
      <c r="D22" s="37">
        <v>31822</v>
      </c>
    </row>
    <row r="23" spans="1:4" x14ac:dyDescent="0.25">
      <c r="A23" s="36" t="s">
        <v>183</v>
      </c>
      <c r="B23" s="37">
        <v>2399886</v>
      </c>
      <c r="C23" s="37">
        <v>868708</v>
      </c>
      <c r="D23" s="37">
        <v>3268594</v>
      </c>
    </row>
    <row r="24" spans="1:4" x14ac:dyDescent="0.25">
      <c r="A24" s="42" t="s">
        <v>235</v>
      </c>
      <c r="B24" s="43">
        <v>2994812</v>
      </c>
      <c r="C24" s="43">
        <v>1152058</v>
      </c>
      <c r="D24" s="43">
        <v>4146870</v>
      </c>
    </row>
    <row r="25" spans="1:4" x14ac:dyDescent="0.25">
      <c r="A25" s="76" t="s">
        <v>299</v>
      </c>
      <c r="B25" s="77"/>
      <c r="C25" s="77"/>
      <c r="D25" s="77"/>
    </row>
    <row r="26" spans="1:4" x14ac:dyDescent="0.25">
      <c r="A26" s="45"/>
      <c r="B26" s="33"/>
      <c r="C26" s="33"/>
      <c r="D26" s="33"/>
    </row>
    <row r="27" spans="1:4" x14ac:dyDescent="0.25">
      <c r="A27" s="33" t="s">
        <v>239</v>
      </c>
      <c r="B27" s="33"/>
      <c r="C27" s="33"/>
      <c r="D27" s="33"/>
    </row>
    <row r="28" spans="1:4" x14ac:dyDescent="0.25">
      <c r="A28" s="46" t="s">
        <v>212</v>
      </c>
      <c r="B28" s="33"/>
      <c r="C28" s="33"/>
      <c r="D28" s="33"/>
    </row>
    <row r="29" spans="1:4" x14ac:dyDescent="0.25">
      <c r="A29" s="33"/>
      <c r="B29" s="33"/>
      <c r="C29" s="33"/>
      <c r="D29" s="33"/>
    </row>
    <row r="30" spans="1:4" x14ac:dyDescent="0.25">
      <c r="A30" s="46" t="s">
        <v>70</v>
      </c>
      <c r="B30" s="33"/>
      <c r="C30" s="33"/>
      <c r="D30" s="33"/>
    </row>
    <row r="31" spans="1:4" x14ac:dyDescent="0.25">
      <c r="A31" s="33"/>
      <c r="B31" s="33"/>
      <c r="C31" s="33"/>
      <c r="D31" s="33"/>
    </row>
    <row r="32" spans="1:4" x14ac:dyDescent="0.25">
      <c r="A32" s="46" t="s">
        <v>240</v>
      </c>
      <c r="B32" s="33"/>
      <c r="C32" s="33"/>
      <c r="D32" s="33"/>
    </row>
  </sheetData>
  <mergeCells count="2">
    <mergeCell ref="A1:D1"/>
    <mergeCell ref="A25:D25"/>
  </mergeCells>
  <hyperlinks>
    <hyperlink ref="A28" r:id="rId1" xr:uid="{00000000-0004-0000-0600-000000000000}"/>
    <hyperlink ref="A30" location="'Technical specifications'!A1" display="Technical specifications" xr:uid="{00000000-0004-0000-0600-000001000000}"/>
    <hyperlink ref="A32" location="Contents!A1" display="Back to contents" xr:uid="{00000000-0004-0000-0600-000002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
  <sheetViews>
    <sheetView workbookViewId="0">
      <selection sqref="A1:D1"/>
    </sheetView>
  </sheetViews>
  <sheetFormatPr defaultRowHeight="15" x14ac:dyDescent="0.25"/>
  <cols>
    <col min="1" max="1" width="50" customWidth="1"/>
    <col min="2" max="4" width="20" customWidth="1"/>
  </cols>
  <sheetData>
    <row r="1" spans="1:4" ht="33.75" customHeight="1" x14ac:dyDescent="0.25">
      <c r="A1" s="74" t="s">
        <v>7</v>
      </c>
      <c r="B1" s="75"/>
      <c r="C1" s="75"/>
      <c r="D1" s="75"/>
    </row>
    <row r="2" spans="1:4" x14ac:dyDescent="0.25">
      <c r="A2" s="34" t="s">
        <v>242</v>
      </c>
      <c r="B2" s="35" t="s">
        <v>224</v>
      </c>
      <c r="C2" s="35" t="s">
        <v>237</v>
      </c>
      <c r="D2" s="35" t="s">
        <v>238</v>
      </c>
    </row>
    <row r="3" spans="1:4" x14ac:dyDescent="0.25">
      <c r="A3" s="36" t="s">
        <v>319</v>
      </c>
      <c r="B3" s="37">
        <v>94</v>
      </c>
      <c r="C3" s="38" t="s">
        <v>352</v>
      </c>
      <c r="D3" s="38" t="s">
        <v>352</v>
      </c>
    </row>
    <row r="4" spans="1:4" x14ac:dyDescent="0.25">
      <c r="A4" s="36" t="s">
        <v>320</v>
      </c>
      <c r="B4" s="37">
        <v>109950</v>
      </c>
      <c r="C4" s="37">
        <v>46036</v>
      </c>
      <c r="D4" s="37">
        <v>155986</v>
      </c>
    </row>
    <row r="5" spans="1:4" x14ac:dyDescent="0.25">
      <c r="A5" s="36" t="s">
        <v>321</v>
      </c>
      <c r="B5" s="37">
        <v>11214675</v>
      </c>
      <c r="C5" s="37">
        <v>2157791</v>
      </c>
      <c r="D5" s="37">
        <v>13372466</v>
      </c>
    </row>
    <row r="6" spans="1:4" x14ac:dyDescent="0.25">
      <c r="A6" s="36" t="s">
        <v>322</v>
      </c>
      <c r="B6" s="38">
        <v>101.99795362</v>
      </c>
      <c r="C6" s="38">
        <v>46.871817708000002</v>
      </c>
      <c r="D6" s="38">
        <v>85.728629491999996</v>
      </c>
    </row>
    <row r="7" spans="1:4" x14ac:dyDescent="0.25">
      <c r="A7" s="52" t="s">
        <v>323</v>
      </c>
      <c r="B7" s="54">
        <v>14.369633768</v>
      </c>
      <c r="C7" s="54">
        <v>8.9823677424999993</v>
      </c>
      <c r="D7" s="54">
        <v>12.208625949</v>
      </c>
    </row>
    <row r="8" spans="1:4" x14ac:dyDescent="0.25">
      <c r="A8" s="76" t="s">
        <v>324</v>
      </c>
      <c r="B8" s="77"/>
      <c r="C8" s="77"/>
      <c r="D8" s="77"/>
    </row>
    <row r="9" spans="1:4" x14ac:dyDescent="0.25">
      <c r="A9" s="45"/>
      <c r="B9" s="33"/>
      <c r="C9" s="33"/>
      <c r="D9" s="33"/>
    </row>
    <row r="10" spans="1:4" x14ac:dyDescent="0.25">
      <c r="A10" s="33" t="s">
        <v>239</v>
      </c>
      <c r="B10" s="33"/>
      <c r="C10" s="33"/>
      <c r="D10" s="33"/>
    </row>
    <row r="11" spans="1:4" x14ac:dyDescent="0.25">
      <c r="A11" s="46" t="s">
        <v>212</v>
      </c>
      <c r="B11" s="33"/>
      <c r="C11" s="33"/>
      <c r="D11" s="33"/>
    </row>
    <row r="12" spans="1:4" x14ac:dyDescent="0.25">
      <c r="A12" s="33"/>
      <c r="B12" s="33"/>
      <c r="C12" s="33"/>
      <c r="D12" s="33"/>
    </row>
    <row r="13" spans="1:4" x14ac:dyDescent="0.25">
      <c r="A13" s="46" t="s">
        <v>70</v>
      </c>
      <c r="B13" s="33"/>
      <c r="C13" s="33"/>
      <c r="D13" s="33"/>
    </row>
    <row r="14" spans="1:4" x14ac:dyDescent="0.25">
      <c r="A14" s="33"/>
      <c r="B14" s="33"/>
      <c r="C14" s="33"/>
      <c r="D14" s="33"/>
    </row>
    <row r="15" spans="1:4" x14ac:dyDescent="0.25">
      <c r="A15" s="46" t="s">
        <v>240</v>
      </c>
      <c r="B15" s="33"/>
      <c r="C15" s="33"/>
      <c r="D15" s="33"/>
    </row>
  </sheetData>
  <mergeCells count="2">
    <mergeCell ref="A1:D1"/>
    <mergeCell ref="A8:D8"/>
  </mergeCells>
  <hyperlinks>
    <hyperlink ref="A11" r:id="rId1" xr:uid="{00000000-0004-0000-0700-000000000000}"/>
    <hyperlink ref="A13" location="'Technical specifications'!A1" display="Technical specifications" xr:uid="{00000000-0004-0000-0700-000001000000}"/>
    <hyperlink ref="A15" location="Contents!A1" display="Back to contents" xr:uid="{00000000-0004-0000-0700-000002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5"/>
  <sheetViews>
    <sheetView workbookViewId="0">
      <selection sqref="A1:D1"/>
    </sheetView>
  </sheetViews>
  <sheetFormatPr defaultRowHeight="15" x14ac:dyDescent="0.25"/>
  <cols>
    <col min="1" max="1" width="50" customWidth="1"/>
    <col min="2" max="4" width="20" customWidth="1"/>
  </cols>
  <sheetData>
    <row r="1" spans="1:4" ht="33.75" customHeight="1" x14ac:dyDescent="0.25">
      <c r="A1" s="74" t="s">
        <v>8</v>
      </c>
      <c r="B1" s="75"/>
      <c r="C1" s="75"/>
      <c r="D1" s="75"/>
    </row>
    <row r="2" spans="1:4" x14ac:dyDescent="0.25">
      <c r="A2" s="34" t="s">
        <v>242</v>
      </c>
      <c r="B2" s="35" t="s">
        <v>224</v>
      </c>
      <c r="C2" s="35" t="s">
        <v>237</v>
      </c>
      <c r="D2" s="35" t="s">
        <v>238</v>
      </c>
    </row>
    <row r="3" spans="1:4" x14ac:dyDescent="0.25">
      <c r="A3" s="36" t="s">
        <v>325</v>
      </c>
      <c r="B3" s="37">
        <v>195</v>
      </c>
      <c r="C3" s="38" t="s">
        <v>352</v>
      </c>
      <c r="D3" s="38" t="s">
        <v>352</v>
      </c>
    </row>
    <row r="4" spans="1:4" x14ac:dyDescent="0.25">
      <c r="A4" s="36" t="s">
        <v>326</v>
      </c>
      <c r="B4" s="37">
        <v>38556</v>
      </c>
      <c r="C4" s="37">
        <v>7001</v>
      </c>
      <c r="D4" s="37">
        <v>45557</v>
      </c>
    </row>
    <row r="5" spans="1:4" x14ac:dyDescent="0.25">
      <c r="A5" s="36" t="s">
        <v>327</v>
      </c>
      <c r="B5" s="37">
        <v>4420440</v>
      </c>
      <c r="C5" s="37">
        <v>315412</v>
      </c>
      <c r="D5" s="37">
        <v>4735852</v>
      </c>
    </row>
    <row r="6" spans="1:4" x14ac:dyDescent="0.25">
      <c r="A6" s="36" t="s">
        <v>328</v>
      </c>
      <c r="B6" s="38">
        <v>114.64985994</v>
      </c>
      <c r="C6" s="38">
        <v>45.052421082999999</v>
      </c>
      <c r="D6" s="38">
        <v>103.95443071</v>
      </c>
    </row>
    <row r="7" spans="1:4" x14ac:dyDescent="0.25">
      <c r="A7" s="52" t="s">
        <v>329</v>
      </c>
      <c r="B7" s="54">
        <v>5.0389777133000004</v>
      </c>
      <c r="C7" s="54">
        <v>1.3660082667</v>
      </c>
      <c r="D7" s="54">
        <v>3.5656300716999998</v>
      </c>
    </row>
    <row r="8" spans="1:4" x14ac:dyDescent="0.25">
      <c r="A8" s="76" t="s">
        <v>330</v>
      </c>
      <c r="B8" s="77"/>
      <c r="C8" s="77"/>
      <c r="D8" s="77"/>
    </row>
    <row r="9" spans="1:4" x14ac:dyDescent="0.25">
      <c r="A9" s="45"/>
      <c r="B9" s="33"/>
      <c r="C9" s="33"/>
      <c r="D9" s="33"/>
    </row>
    <row r="10" spans="1:4" x14ac:dyDescent="0.25">
      <c r="A10" s="33" t="s">
        <v>239</v>
      </c>
      <c r="B10" s="33"/>
      <c r="C10" s="33"/>
      <c r="D10" s="33"/>
    </row>
    <row r="11" spans="1:4" x14ac:dyDescent="0.25">
      <c r="A11" s="46" t="s">
        <v>212</v>
      </c>
      <c r="B11" s="33"/>
      <c r="C11" s="33"/>
      <c r="D11" s="33"/>
    </row>
    <row r="12" spans="1:4" x14ac:dyDescent="0.25">
      <c r="A12" s="33"/>
      <c r="B12" s="33"/>
      <c r="C12" s="33"/>
      <c r="D12" s="33"/>
    </row>
    <row r="13" spans="1:4" x14ac:dyDescent="0.25">
      <c r="A13" s="46" t="s">
        <v>70</v>
      </c>
      <c r="B13" s="33"/>
      <c r="C13" s="33"/>
      <c r="D13" s="33"/>
    </row>
    <row r="14" spans="1:4" x14ac:dyDescent="0.25">
      <c r="A14" s="33"/>
      <c r="B14" s="33"/>
      <c r="C14" s="33"/>
      <c r="D14" s="33"/>
    </row>
    <row r="15" spans="1:4" x14ac:dyDescent="0.25">
      <c r="A15" s="46" t="s">
        <v>240</v>
      </c>
      <c r="B15" s="33"/>
      <c r="C15" s="33"/>
      <c r="D15" s="33"/>
    </row>
  </sheetData>
  <mergeCells count="2">
    <mergeCell ref="A1:D1"/>
    <mergeCell ref="A8:D8"/>
  </mergeCells>
  <hyperlinks>
    <hyperlink ref="A11" r:id="rId1" xr:uid="{00000000-0004-0000-0800-000000000000}"/>
    <hyperlink ref="A13" location="'Technical specifications'!A1" display="Technical specifications" xr:uid="{00000000-0004-0000-0800-000001000000}"/>
    <hyperlink ref="A15" location="Contents!A1" display="Back to contents" xr:uid="{00000000-0004-0000-0800-000002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0"/>
  <sheetViews>
    <sheetView workbookViewId="0">
      <selection sqref="A1:E1"/>
    </sheetView>
  </sheetViews>
  <sheetFormatPr defaultRowHeight="15" x14ac:dyDescent="0.25"/>
  <cols>
    <col min="1" max="1" width="17" customWidth="1"/>
    <col min="2" max="2" width="36" customWidth="1"/>
    <col min="3" max="5" width="20" customWidth="1"/>
  </cols>
  <sheetData>
    <row r="1" spans="1:5" ht="33.75" customHeight="1" x14ac:dyDescent="0.25">
      <c r="A1" s="74" t="s">
        <v>9</v>
      </c>
      <c r="B1" s="75"/>
      <c r="C1" s="75"/>
      <c r="D1" s="75"/>
      <c r="E1" s="75"/>
    </row>
    <row r="2" spans="1:5" ht="23.25" x14ac:dyDescent="0.25">
      <c r="A2" s="34" t="s">
        <v>214</v>
      </c>
      <c r="B2" s="34" t="s">
        <v>331</v>
      </c>
      <c r="C2" s="35" t="s">
        <v>332</v>
      </c>
      <c r="D2" s="35" t="s">
        <v>333</v>
      </c>
      <c r="E2" s="35" t="s">
        <v>235</v>
      </c>
    </row>
    <row r="3" spans="1:5" x14ac:dyDescent="0.25">
      <c r="A3" s="36" t="s">
        <v>224</v>
      </c>
      <c r="B3" s="36" t="s">
        <v>334</v>
      </c>
      <c r="C3" s="37">
        <v>77786</v>
      </c>
      <c r="D3" s="37">
        <v>7535210</v>
      </c>
      <c r="E3" s="37">
        <v>7612996</v>
      </c>
    </row>
    <row r="4" spans="1:5" x14ac:dyDescent="0.25">
      <c r="A4" s="36" t="s">
        <v>224</v>
      </c>
      <c r="B4" s="36" t="s">
        <v>335</v>
      </c>
      <c r="C4" s="37">
        <v>32164</v>
      </c>
      <c r="D4" s="37">
        <v>6392</v>
      </c>
      <c r="E4" s="37">
        <v>38556</v>
      </c>
    </row>
    <row r="5" spans="1:5" x14ac:dyDescent="0.25">
      <c r="A5" s="36" t="s">
        <v>224</v>
      </c>
      <c r="B5" s="36" t="s">
        <v>235</v>
      </c>
      <c r="C5" s="37">
        <v>109950</v>
      </c>
      <c r="D5" s="37">
        <v>7541602</v>
      </c>
      <c r="E5" s="37">
        <v>7651552</v>
      </c>
    </row>
    <row r="6" spans="1:5" x14ac:dyDescent="0.25">
      <c r="A6" s="36" t="s">
        <v>237</v>
      </c>
      <c r="B6" s="36" t="s">
        <v>334</v>
      </c>
      <c r="C6" s="37">
        <v>40411</v>
      </c>
      <c r="D6" s="37">
        <v>5077740</v>
      </c>
      <c r="E6" s="37">
        <v>5118151</v>
      </c>
    </row>
    <row r="7" spans="1:5" x14ac:dyDescent="0.25">
      <c r="A7" s="36" t="s">
        <v>237</v>
      </c>
      <c r="B7" s="36" t="s">
        <v>335</v>
      </c>
      <c r="C7" s="37">
        <v>5625</v>
      </c>
      <c r="D7" s="37">
        <v>1376</v>
      </c>
      <c r="E7" s="37">
        <v>7001</v>
      </c>
    </row>
    <row r="8" spans="1:5" x14ac:dyDescent="0.25">
      <c r="A8" s="36" t="s">
        <v>237</v>
      </c>
      <c r="B8" s="36" t="s">
        <v>235</v>
      </c>
      <c r="C8" s="37">
        <v>46036</v>
      </c>
      <c r="D8" s="37">
        <v>5079116</v>
      </c>
      <c r="E8" s="37">
        <v>5125152</v>
      </c>
    </row>
    <row r="9" spans="1:5" x14ac:dyDescent="0.25">
      <c r="A9" s="36" t="s">
        <v>238</v>
      </c>
      <c r="B9" s="36" t="s">
        <v>334</v>
      </c>
      <c r="C9" s="37">
        <v>118197</v>
      </c>
      <c r="D9" s="37">
        <v>12612950</v>
      </c>
      <c r="E9" s="37">
        <v>12731147</v>
      </c>
    </row>
    <row r="10" spans="1:5" x14ac:dyDescent="0.25">
      <c r="A10" s="36" t="s">
        <v>238</v>
      </c>
      <c r="B10" s="36" t="s">
        <v>335</v>
      </c>
      <c r="C10" s="37">
        <v>37789</v>
      </c>
      <c r="D10" s="37">
        <v>7768</v>
      </c>
      <c r="E10" s="37">
        <v>45557</v>
      </c>
    </row>
    <row r="11" spans="1:5" x14ac:dyDescent="0.25">
      <c r="A11" s="52" t="s">
        <v>238</v>
      </c>
      <c r="B11" s="52" t="s">
        <v>235</v>
      </c>
      <c r="C11" s="53">
        <v>155986</v>
      </c>
      <c r="D11" s="53">
        <v>12620718</v>
      </c>
      <c r="E11" s="53">
        <v>12776704</v>
      </c>
    </row>
    <row r="12" spans="1:5" x14ac:dyDescent="0.25">
      <c r="A12" s="76" t="s">
        <v>336</v>
      </c>
      <c r="B12" s="77"/>
      <c r="C12" s="77"/>
      <c r="D12" s="77"/>
      <c r="E12" s="77"/>
    </row>
    <row r="13" spans="1:5" x14ac:dyDescent="0.25">
      <c r="A13" s="76" t="s">
        <v>324</v>
      </c>
      <c r="B13" s="77"/>
      <c r="C13" s="77"/>
      <c r="D13" s="77"/>
      <c r="E13" s="77"/>
    </row>
    <row r="14" spans="1:5" x14ac:dyDescent="0.25">
      <c r="A14" s="45"/>
      <c r="B14" s="33"/>
      <c r="C14" s="33"/>
      <c r="D14" s="33"/>
      <c r="E14" s="33"/>
    </row>
    <row r="15" spans="1:5" x14ac:dyDescent="0.25">
      <c r="A15" s="33" t="s">
        <v>239</v>
      </c>
      <c r="B15" s="33"/>
      <c r="C15" s="33"/>
      <c r="D15" s="33"/>
      <c r="E15" s="33"/>
    </row>
    <row r="16" spans="1:5" x14ac:dyDescent="0.25">
      <c r="A16" s="46" t="s">
        <v>212</v>
      </c>
      <c r="B16" s="33"/>
      <c r="C16" s="33"/>
      <c r="D16" s="33"/>
      <c r="E16" s="33"/>
    </row>
    <row r="17" spans="1:5" x14ac:dyDescent="0.25">
      <c r="A17" s="33"/>
      <c r="B17" s="33"/>
      <c r="C17" s="33"/>
      <c r="D17" s="33"/>
      <c r="E17" s="33"/>
    </row>
    <row r="18" spans="1:5" x14ac:dyDescent="0.25">
      <c r="A18" s="46" t="s">
        <v>70</v>
      </c>
      <c r="B18" s="33"/>
      <c r="C18" s="33"/>
      <c r="D18" s="33"/>
      <c r="E18" s="33"/>
    </row>
    <row r="19" spans="1:5" x14ac:dyDescent="0.25">
      <c r="A19" s="33"/>
      <c r="B19" s="33"/>
      <c r="C19" s="33"/>
      <c r="D19" s="33"/>
      <c r="E19" s="33"/>
    </row>
    <row r="20" spans="1:5" x14ac:dyDescent="0.25">
      <c r="A20" s="46" t="s">
        <v>240</v>
      </c>
      <c r="B20" s="33"/>
      <c r="C20" s="33"/>
      <c r="D20" s="33"/>
      <c r="E20" s="33"/>
    </row>
  </sheetData>
  <mergeCells count="3">
    <mergeCell ref="A1:E1"/>
    <mergeCell ref="A12:E12"/>
    <mergeCell ref="A13:E13"/>
  </mergeCells>
  <hyperlinks>
    <hyperlink ref="A16" r:id="rId1" xr:uid="{00000000-0004-0000-0900-000000000000}"/>
    <hyperlink ref="A18" location="'Technical specifications'!A1" display="Technical specifications" xr:uid="{00000000-0004-0000-0900-000001000000}"/>
    <hyperlink ref="A20" location="Contents!A1" display="Back to contents" xr:uid="{00000000-0004-0000-0900-000002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6"/>
  <sheetViews>
    <sheetView workbookViewId="0">
      <selection sqref="A1:I1"/>
    </sheetView>
  </sheetViews>
  <sheetFormatPr defaultRowHeight="15" x14ac:dyDescent="0.25"/>
  <cols>
    <col min="1" max="1" width="18" customWidth="1"/>
    <col min="2" max="2" width="17" customWidth="1"/>
    <col min="3" max="9" width="11.140625" customWidth="1"/>
  </cols>
  <sheetData>
    <row r="1" spans="1:9" ht="33.75" customHeight="1" x14ac:dyDescent="0.25">
      <c r="A1" s="74" t="s">
        <v>10</v>
      </c>
      <c r="B1" s="75"/>
      <c r="C1" s="75"/>
      <c r="D1" s="75"/>
      <c r="E1" s="75"/>
      <c r="F1" s="75"/>
      <c r="G1" s="75"/>
      <c r="H1" s="75"/>
      <c r="I1" s="75"/>
    </row>
    <row r="2" spans="1:9" ht="57" x14ac:dyDescent="0.25">
      <c r="A2" s="34" t="s">
        <v>337</v>
      </c>
      <c r="B2" s="34" t="s">
        <v>214</v>
      </c>
      <c r="C2" s="35" t="s">
        <v>217</v>
      </c>
      <c r="D2" s="35" t="s">
        <v>218</v>
      </c>
      <c r="E2" s="35" t="s">
        <v>219</v>
      </c>
      <c r="F2" s="35" t="s">
        <v>220</v>
      </c>
      <c r="G2" s="35" t="s">
        <v>221</v>
      </c>
      <c r="H2" s="35" t="s">
        <v>222</v>
      </c>
      <c r="I2" s="35" t="s">
        <v>223</v>
      </c>
    </row>
    <row r="3" spans="1:9" x14ac:dyDescent="0.25">
      <c r="A3" s="36" t="s">
        <v>338</v>
      </c>
      <c r="B3" s="36" t="s">
        <v>224</v>
      </c>
      <c r="C3" s="37">
        <v>19268</v>
      </c>
      <c r="D3" s="37">
        <v>17911</v>
      </c>
      <c r="E3" s="37">
        <v>18047</v>
      </c>
      <c r="F3" s="37">
        <v>18652</v>
      </c>
      <c r="G3" s="37">
        <v>18347</v>
      </c>
      <c r="H3" s="38">
        <v>-1.217024007</v>
      </c>
      <c r="I3" s="38">
        <v>-1.6352133820000001</v>
      </c>
    </row>
    <row r="4" spans="1:9" x14ac:dyDescent="0.25">
      <c r="A4" s="36" t="s">
        <v>338</v>
      </c>
      <c r="B4" s="36" t="s">
        <v>237</v>
      </c>
      <c r="C4" s="37">
        <v>4499</v>
      </c>
      <c r="D4" s="37">
        <v>4685</v>
      </c>
      <c r="E4" s="37">
        <v>4331</v>
      </c>
      <c r="F4" s="37">
        <v>4281</v>
      </c>
      <c r="G4" s="37">
        <v>4226</v>
      </c>
      <c r="H4" s="38">
        <v>-1.552798575</v>
      </c>
      <c r="I4" s="38">
        <v>-1.2847465549999999</v>
      </c>
    </row>
    <row r="5" spans="1:9" x14ac:dyDescent="0.25">
      <c r="A5" s="39" t="s">
        <v>338</v>
      </c>
      <c r="B5" s="39" t="s">
        <v>238</v>
      </c>
      <c r="C5" s="40">
        <v>23767</v>
      </c>
      <c r="D5" s="40">
        <v>22596</v>
      </c>
      <c r="E5" s="40">
        <v>22378</v>
      </c>
      <c r="F5" s="40">
        <v>22933</v>
      </c>
      <c r="G5" s="40">
        <v>22573</v>
      </c>
      <c r="H5" s="41">
        <v>-1.28032229</v>
      </c>
      <c r="I5" s="41">
        <v>-1.5697902589999999</v>
      </c>
    </row>
    <row r="6" spans="1:9" x14ac:dyDescent="0.25">
      <c r="A6" s="36" t="s">
        <v>339</v>
      </c>
      <c r="B6" s="36" t="s">
        <v>224</v>
      </c>
      <c r="C6" s="37">
        <v>16046</v>
      </c>
      <c r="D6" s="37">
        <v>15274</v>
      </c>
      <c r="E6" s="37">
        <v>15683</v>
      </c>
      <c r="F6" s="37">
        <v>16457</v>
      </c>
      <c r="G6" s="37">
        <v>16169</v>
      </c>
      <c r="H6" s="38">
        <v>0.19108812680000001</v>
      </c>
      <c r="I6" s="38">
        <v>-1.7500151909999999</v>
      </c>
    </row>
    <row r="7" spans="1:9" x14ac:dyDescent="0.25">
      <c r="A7" s="36" t="s">
        <v>339</v>
      </c>
      <c r="B7" s="36" t="s">
        <v>237</v>
      </c>
      <c r="C7" s="37">
        <v>2429</v>
      </c>
      <c r="D7" s="37">
        <v>2602</v>
      </c>
      <c r="E7" s="37">
        <v>2535</v>
      </c>
      <c r="F7" s="37">
        <v>2271</v>
      </c>
      <c r="G7" s="37">
        <v>2275</v>
      </c>
      <c r="H7" s="38">
        <v>-1.6241559539999999</v>
      </c>
      <c r="I7" s="38">
        <v>0.17613386170000001</v>
      </c>
    </row>
    <row r="8" spans="1:9" x14ac:dyDescent="0.25">
      <c r="A8" s="39" t="s">
        <v>339</v>
      </c>
      <c r="B8" s="39" t="s">
        <v>238</v>
      </c>
      <c r="C8" s="40">
        <v>18475</v>
      </c>
      <c r="D8" s="40">
        <v>17876</v>
      </c>
      <c r="E8" s="40">
        <v>18218</v>
      </c>
      <c r="F8" s="40">
        <v>18728</v>
      </c>
      <c r="G8" s="40">
        <v>18444</v>
      </c>
      <c r="H8" s="41">
        <v>-4.1974999999999998E-2</v>
      </c>
      <c r="I8" s="41">
        <v>-1.516445963</v>
      </c>
    </row>
    <row r="9" spans="1:9" x14ac:dyDescent="0.25">
      <c r="A9" s="36" t="s">
        <v>340</v>
      </c>
      <c r="B9" s="36" t="s">
        <v>224</v>
      </c>
      <c r="C9" s="37">
        <v>19211</v>
      </c>
      <c r="D9" s="37">
        <v>20919</v>
      </c>
      <c r="E9" s="37">
        <v>21949</v>
      </c>
      <c r="F9" s="37">
        <v>22593</v>
      </c>
      <c r="G9" s="37">
        <v>22440</v>
      </c>
      <c r="H9" s="38">
        <v>3.9604666220999998</v>
      </c>
      <c r="I9" s="38">
        <v>-0.67720090300000002</v>
      </c>
    </row>
    <row r="10" spans="1:9" x14ac:dyDescent="0.25">
      <c r="A10" s="36" t="s">
        <v>340</v>
      </c>
      <c r="B10" s="36" t="s">
        <v>237</v>
      </c>
      <c r="C10" s="37">
        <v>1994</v>
      </c>
      <c r="D10" s="37">
        <v>1975</v>
      </c>
      <c r="E10" s="37">
        <v>1913</v>
      </c>
      <c r="F10" s="37">
        <v>1890</v>
      </c>
      <c r="G10" s="37">
        <v>1780</v>
      </c>
      <c r="H10" s="38">
        <v>-2.7983332280000002</v>
      </c>
      <c r="I10" s="38">
        <v>-5.8201058200000002</v>
      </c>
    </row>
    <row r="11" spans="1:9" x14ac:dyDescent="0.25">
      <c r="A11" s="39" t="s">
        <v>340</v>
      </c>
      <c r="B11" s="39" t="s">
        <v>238</v>
      </c>
      <c r="C11" s="40">
        <v>21205</v>
      </c>
      <c r="D11" s="40">
        <v>22894</v>
      </c>
      <c r="E11" s="40">
        <v>23862</v>
      </c>
      <c r="F11" s="40">
        <v>24483</v>
      </c>
      <c r="G11" s="40">
        <v>24220</v>
      </c>
      <c r="H11" s="41">
        <v>3.3793900618000001</v>
      </c>
      <c r="I11" s="41">
        <v>-1.0742147609999999</v>
      </c>
    </row>
    <row r="12" spans="1:9" x14ac:dyDescent="0.25">
      <c r="A12" s="36" t="s">
        <v>341</v>
      </c>
      <c r="B12" s="36" t="s">
        <v>224</v>
      </c>
      <c r="C12" s="37">
        <v>6781</v>
      </c>
      <c r="D12" s="37">
        <v>6839</v>
      </c>
      <c r="E12" s="37">
        <v>6676</v>
      </c>
      <c r="F12" s="37">
        <v>6413</v>
      </c>
      <c r="G12" s="37">
        <v>6430</v>
      </c>
      <c r="H12" s="38">
        <v>-1.3199622090000001</v>
      </c>
      <c r="I12" s="38">
        <v>0.26508654300000001</v>
      </c>
    </row>
    <row r="13" spans="1:9" x14ac:dyDescent="0.25">
      <c r="A13" s="36" t="s">
        <v>341</v>
      </c>
      <c r="B13" s="36" t="s">
        <v>237</v>
      </c>
      <c r="C13" s="37">
        <v>1157</v>
      </c>
      <c r="D13" s="37">
        <v>1384</v>
      </c>
      <c r="E13" s="37">
        <v>1357</v>
      </c>
      <c r="F13" s="37">
        <v>1303</v>
      </c>
      <c r="G13" s="37">
        <v>1257</v>
      </c>
      <c r="H13" s="38">
        <v>2.0940611348</v>
      </c>
      <c r="I13" s="38">
        <v>-3.530314658</v>
      </c>
    </row>
    <row r="14" spans="1:9" x14ac:dyDescent="0.25">
      <c r="A14" s="39" t="s">
        <v>341</v>
      </c>
      <c r="B14" s="39" t="s">
        <v>238</v>
      </c>
      <c r="C14" s="40">
        <v>7938</v>
      </c>
      <c r="D14" s="40">
        <v>8223</v>
      </c>
      <c r="E14" s="40">
        <v>8033</v>
      </c>
      <c r="F14" s="40">
        <v>7716</v>
      </c>
      <c r="G14" s="40">
        <v>7687</v>
      </c>
      <c r="H14" s="41">
        <v>-0.80005151500000005</v>
      </c>
      <c r="I14" s="41">
        <v>-0.37584240499999999</v>
      </c>
    </row>
    <row r="15" spans="1:9" x14ac:dyDescent="0.25">
      <c r="A15" s="36" t="s">
        <v>342</v>
      </c>
      <c r="B15" s="36" t="s">
        <v>224</v>
      </c>
      <c r="C15" s="37">
        <v>5323</v>
      </c>
      <c r="D15" s="37">
        <v>5218</v>
      </c>
      <c r="E15" s="37">
        <v>5000</v>
      </c>
      <c r="F15" s="37">
        <v>5167</v>
      </c>
      <c r="G15" s="37">
        <v>5113</v>
      </c>
      <c r="H15" s="38">
        <v>-1.0012225109999999</v>
      </c>
      <c r="I15" s="38">
        <v>-1.0450938649999999</v>
      </c>
    </row>
    <row r="16" spans="1:9" x14ac:dyDescent="0.25">
      <c r="A16" s="36" t="s">
        <v>342</v>
      </c>
      <c r="B16" s="36" t="s">
        <v>237</v>
      </c>
      <c r="C16" s="37">
        <v>565</v>
      </c>
      <c r="D16" s="37">
        <v>709</v>
      </c>
      <c r="E16" s="37">
        <v>571</v>
      </c>
      <c r="F16" s="37">
        <v>528</v>
      </c>
      <c r="G16" s="37">
        <v>466</v>
      </c>
      <c r="H16" s="38">
        <v>-4.7018725239999997</v>
      </c>
      <c r="I16" s="38">
        <v>-11.74242424</v>
      </c>
    </row>
    <row r="17" spans="1:9" x14ac:dyDescent="0.25">
      <c r="A17" s="39" t="s">
        <v>342</v>
      </c>
      <c r="B17" s="39" t="s">
        <v>238</v>
      </c>
      <c r="C17" s="40">
        <v>5888</v>
      </c>
      <c r="D17" s="40">
        <v>5927</v>
      </c>
      <c r="E17" s="40">
        <v>5571</v>
      </c>
      <c r="F17" s="40">
        <v>5695</v>
      </c>
      <c r="G17" s="40">
        <v>5579</v>
      </c>
      <c r="H17" s="41">
        <v>-1.3386303879999999</v>
      </c>
      <c r="I17" s="41">
        <v>-2.0368744510000001</v>
      </c>
    </row>
    <row r="18" spans="1:9" x14ac:dyDescent="0.25">
      <c r="A18" s="36" t="s">
        <v>343</v>
      </c>
      <c r="B18" s="36" t="s">
        <v>224</v>
      </c>
      <c r="C18" s="37">
        <v>1006</v>
      </c>
      <c r="D18" s="37">
        <v>987</v>
      </c>
      <c r="E18" s="37">
        <v>1032</v>
      </c>
      <c r="F18" s="37">
        <v>996</v>
      </c>
      <c r="G18" s="37">
        <v>1099</v>
      </c>
      <c r="H18" s="38">
        <v>2.2350768837000001</v>
      </c>
      <c r="I18" s="38">
        <v>10.341365462000001</v>
      </c>
    </row>
    <row r="19" spans="1:9" x14ac:dyDescent="0.25">
      <c r="A19" s="36" t="s">
        <v>343</v>
      </c>
      <c r="B19" s="36" t="s">
        <v>237</v>
      </c>
      <c r="C19" s="37" t="s">
        <v>608</v>
      </c>
      <c r="D19" s="37" t="s">
        <v>608</v>
      </c>
      <c r="E19" s="37" t="s">
        <v>608</v>
      </c>
      <c r="F19" s="37" t="s">
        <v>608</v>
      </c>
      <c r="G19" s="37" t="s">
        <v>608</v>
      </c>
      <c r="H19" s="37" t="s">
        <v>608</v>
      </c>
      <c r="I19" s="37" t="s">
        <v>608</v>
      </c>
    </row>
    <row r="20" spans="1:9" x14ac:dyDescent="0.25">
      <c r="A20" s="36" t="s">
        <v>343</v>
      </c>
      <c r="B20" s="39" t="s">
        <v>238</v>
      </c>
      <c r="C20" s="56" t="s">
        <v>608</v>
      </c>
      <c r="D20" s="56" t="s">
        <v>608</v>
      </c>
      <c r="E20" s="56" t="s">
        <v>608</v>
      </c>
      <c r="F20" s="56" t="s">
        <v>608</v>
      </c>
      <c r="G20" s="56" t="s">
        <v>608</v>
      </c>
      <c r="H20" s="56" t="s">
        <v>608</v>
      </c>
      <c r="I20" s="56" t="s">
        <v>608</v>
      </c>
    </row>
    <row r="21" spans="1:9" x14ac:dyDescent="0.25">
      <c r="A21" s="36" t="s">
        <v>344</v>
      </c>
      <c r="B21" s="36" t="s">
        <v>224</v>
      </c>
      <c r="C21" s="37">
        <v>1202</v>
      </c>
      <c r="D21" s="37">
        <v>1149</v>
      </c>
      <c r="E21" s="37">
        <v>1049</v>
      </c>
      <c r="F21" s="37">
        <v>1126</v>
      </c>
      <c r="G21" s="37">
        <v>1102</v>
      </c>
      <c r="H21" s="38">
        <v>-2.1480957420000002</v>
      </c>
      <c r="I21" s="38">
        <v>-2.1314387209999999</v>
      </c>
    </row>
    <row r="22" spans="1:9" x14ac:dyDescent="0.25">
      <c r="A22" s="36" t="s">
        <v>344</v>
      </c>
      <c r="B22" s="36" t="s">
        <v>237</v>
      </c>
      <c r="C22" s="37" t="s">
        <v>608</v>
      </c>
      <c r="D22" s="37" t="s">
        <v>608</v>
      </c>
      <c r="E22" s="37" t="s">
        <v>608</v>
      </c>
      <c r="F22" s="37" t="s">
        <v>608</v>
      </c>
      <c r="G22" s="37" t="s">
        <v>447</v>
      </c>
      <c r="H22" s="38" t="s">
        <v>352</v>
      </c>
      <c r="I22" s="38" t="s">
        <v>352</v>
      </c>
    </row>
    <row r="23" spans="1:9" x14ac:dyDescent="0.25">
      <c r="A23" s="36" t="s">
        <v>344</v>
      </c>
      <c r="B23" s="39" t="s">
        <v>238</v>
      </c>
      <c r="C23" s="56" t="s">
        <v>608</v>
      </c>
      <c r="D23" s="56" t="s">
        <v>608</v>
      </c>
      <c r="E23" s="56" t="s">
        <v>608</v>
      </c>
      <c r="F23" s="56" t="s">
        <v>608</v>
      </c>
      <c r="G23" s="56" t="s">
        <v>447</v>
      </c>
      <c r="H23" s="57" t="s">
        <v>352</v>
      </c>
      <c r="I23" s="57" t="s">
        <v>352</v>
      </c>
    </row>
    <row r="24" spans="1:9" x14ac:dyDescent="0.25">
      <c r="A24" s="36" t="s">
        <v>345</v>
      </c>
      <c r="B24" s="36" t="s">
        <v>224</v>
      </c>
      <c r="C24" s="37">
        <v>1025</v>
      </c>
      <c r="D24" s="37">
        <v>1078</v>
      </c>
      <c r="E24" s="37">
        <v>957</v>
      </c>
      <c r="F24" s="37">
        <v>1001</v>
      </c>
      <c r="G24" s="37">
        <v>854</v>
      </c>
      <c r="H24" s="38">
        <v>-4.460381817</v>
      </c>
      <c r="I24" s="38">
        <v>-14.68531469</v>
      </c>
    </row>
    <row r="25" spans="1:9" x14ac:dyDescent="0.25">
      <c r="A25" s="36" t="s">
        <v>345</v>
      </c>
      <c r="B25" s="36" t="s">
        <v>237</v>
      </c>
      <c r="C25" s="37" t="s">
        <v>608</v>
      </c>
      <c r="D25" s="37" t="s">
        <v>608</v>
      </c>
      <c r="E25" s="37" t="s">
        <v>608</v>
      </c>
      <c r="F25" s="37" t="s">
        <v>608</v>
      </c>
      <c r="G25" s="37" t="s">
        <v>608</v>
      </c>
      <c r="H25" s="37" t="s">
        <v>608</v>
      </c>
      <c r="I25" s="37" t="s">
        <v>608</v>
      </c>
    </row>
    <row r="26" spans="1:9" x14ac:dyDescent="0.25">
      <c r="A26" s="36" t="s">
        <v>345</v>
      </c>
      <c r="B26" s="39" t="s">
        <v>238</v>
      </c>
      <c r="C26" s="56" t="s">
        <v>608</v>
      </c>
      <c r="D26" s="56" t="s">
        <v>608</v>
      </c>
      <c r="E26" s="56" t="s">
        <v>608</v>
      </c>
      <c r="F26" s="56" t="s">
        <v>608</v>
      </c>
      <c r="G26" s="56" t="s">
        <v>608</v>
      </c>
      <c r="H26" s="56" t="s">
        <v>608</v>
      </c>
      <c r="I26" s="56" t="s">
        <v>608</v>
      </c>
    </row>
    <row r="27" spans="1:9" x14ac:dyDescent="0.25">
      <c r="A27" s="47" t="s">
        <v>235</v>
      </c>
      <c r="B27" s="47" t="s">
        <v>224</v>
      </c>
      <c r="C27" s="48">
        <v>69862</v>
      </c>
      <c r="D27" s="48">
        <v>69375</v>
      </c>
      <c r="E27" s="48">
        <v>70393</v>
      </c>
      <c r="F27" s="48">
        <v>72405</v>
      </c>
      <c r="G27" s="48">
        <v>71554</v>
      </c>
      <c r="H27" s="49">
        <v>0.60005671419999995</v>
      </c>
      <c r="I27" s="49">
        <v>-1.1753331950000001</v>
      </c>
    </row>
    <row r="28" spans="1:9" x14ac:dyDescent="0.25">
      <c r="A28" s="47" t="s">
        <v>235</v>
      </c>
      <c r="B28" s="47" t="s">
        <v>237</v>
      </c>
      <c r="C28" s="48">
        <v>11654</v>
      </c>
      <c r="D28" s="48">
        <v>12431</v>
      </c>
      <c r="E28" s="48">
        <v>11724</v>
      </c>
      <c r="F28" s="48">
        <v>11139</v>
      </c>
      <c r="G28" s="48">
        <v>10086</v>
      </c>
      <c r="H28" s="49">
        <v>-3.548055513</v>
      </c>
      <c r="I28" s="49">
        <v>-9.4532722870000008</v>
      </c>
    </row>
    <row r="29" spans="1:9" x14ac:dyDescent="0.25">
      <c r="A29" s="42" t="s">
        <v>235</v>
      </c>
      <c r="B29" s="42" t="s">
        <v>238</v>
      </c>
      <c r="C29" s="43">
        <v>81516</v>
      </c>
      <c r="D29" s="43">
        <v>81806</v>
      </c>
      <c r="E29" s="43">
        <v>82117</v>
      </c>
      <c r="F29" s="43">
        <v>83544</v>
      </c>
      <c r="G29" s="43">
        <v>81640</v>
      </c>
      <c r="H29" s="44">
        <v>3.8007669700000003E-2</v>
      </c>
      <c r="I29" s="44">
        <v>-2.2790385899999999</v>
      </c>
    </row>
    <row r="30" spans="1:9" x14ac:dyDescent="0.25">
      <c r="A30" s="45"/>
      <c r="B30" s="33"/>
      <c r="C30" s="33"/>
      <c r="D30" s="33"/>
      <c r="E30" s="33"/>
      <c r="F30" s="33"/>
      <c r="G30" s="33"/>
      <c r="H30" s="33"/>
      <c r="I30" s="33"/>
    </row>
    <row r="31" spans="1:9" x14ac:dyDescent="0.25">
      <c r="A31" s="33" t="s">
        <v>239</v>
      </c>
      <c r="B31" s="33"/>
      <c r="C31" s="33"/>
      <c r="D31" s="33"/>
      <c r="E31" s="33"/>
      <c r="F31" s="33"/>
      <c r="G31" s="33"/>
      <c r="H31" s="33"/>
      <c r="I31" s="33"/>
    </row>
    <row r="32" spans="1:9" x14ac:dyDescent="0.25">
      <c r="A32" s="46" t="s">
        <v>212</v>
      </c>
      <c r="B32" s="33"/>
      <c r="C32" s="33"/>
      <c r="D32" s="33"/>
      <c r="E32" s="33"/>
      <c r="F32" s="33"/>
      <c r="G32" s="33"/>
      <c r="H32" s="33"/>
      <c r="I32" s="33"/>
    </row>
    <row r="33" spans="1:9" x14ac:dyDescent="0.25">
      <c r="A33" s="33"/>
      <c r="B33" s="33"/>
      <c r="C33" s="33"/>
      <c r="D33" s="33"/>
      <c r="E33" s="33"/>
      <c r="F33" s="33"/>
      <c r="G33" s="33"/>
      <c r="H33" s="33"/>
      <c r="I33" s="33"/>
    </row>
    <row r="34" spans="1:9" x14ac:dyDescent="0.25">
      <c r="A34" s="46" t="s">
        <v>70</v>
      </c>
      <c r="B34" s="33"/>
      <c r="C34" s="33"/>
      <c r="D34" s="33"/>
      <c r="E34" s="33"/>
      <c r="F34" s="33"/>
      <c r="G34" s="33"/>
      <c r="H34" s="33"/>
      <c r="I34" s="33"/>
    </row>
    <row r="35" spans="1:9" x14ac:dyDescent="0.25">
      <c r="A35" s="33"/>
      <c r="B35" s="33"/>
      <c r="C35" s="33"/>
      <c r="D35" s="33"/>
      <c r="E35" s="33"/>
      <c r="F35" s="33"/>
      <c r="G35" s="33"/>
      <c r="H35" s="33"/>
      <c r="I35" s="33"/>
    </row>
    <row r="36" spans="1:9" x14ac:dyDescent="0.25">
      <c r="A36" s="46" t="s">
        <v>240</v>
      </c>
      <c r="B36" s="33"/>
      <c r="C36" s="33"/>
      <c r="D36" s="33"/>
      <c r="E36" s="33"/>
      <c r="F36" s="33"/>
      <c r="G36" s="33"/>
      <c r="H36" s="33"/>
      <c r="I36" s="33"/>
    </row>
  </sheetData>
  <mergeCells count="1">
    <mergeCell ref="A1:I1"/>
  </mergeCells>
  <hyperlinks>
    <hyperlink ref="A32" r:id="rId1" xr:uid="{00000000-0004-0000-0A00-000000000000}"/>
    <hyperlink ref="A34" location="'Technical specifications'!A1" display="Technical specifications" xr:uid="{00000000-0004-0000-0A00-000001000000}"/>
    <hyperlink ref="A36" location="Contents!A1" display="Back to contents" xr:uid="{00000000-0004-0000-0A00-000002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7"/>
  <sheetViews>
    <sheetView workbookViewId="0">
      <selection sqref="A1:I1"/>
    </sheetView>
  </sheetViews>
  <sheetFormatPr defaultRowHeight="15" x14ac:dyDescent="0.25"/>
  <cols>
    <col min="1" max="1" width="18" customWidth="1"/>
    <col min="2" max="2" width="17" customWidth="1"/>
    <col min="3" max="9" width="11.140625" customWidth="1"/>
  </cols>
  <sheetData>
    <row r="1" spans="1:9" ht="33.75" customHeight="1" x14ac:dyDescent="0.25">
      <c r="A1" s="74" t="s">
        <v>11</v>
      </c>
      <c r="B1" s="75"/>
      <c r="C1" s="75"/>
      <c r="D1" s="75"/>
      <c r="E1" s="75"/>
      <c r="F1" s="75"/>
      <c r="G1" s="75"/>
      <c r="H1" s="75"/>
      <c r="I1" s="75"/>
    </row>
    <row r="2" spans="1:9" ht="57" x14ac:dyDescent="0.25">
      <c r="A2" s="34" t="s">
        <v>337</v>
      </c>
      <c r="B2" s="34" t="s">
        <v>214</v>
      </c>
      <c r="C2" s="35" t="s">
        <v>217</v>
      </c>
      <c r="D2" s="35" t="s">
        <v>218</v>
      </c>
      <c r="E2" s="35" t="s">
        <v>219</v>
      </c>
      <c r="F2" s="35" t="s">
        <v>220</v>
      </c>
      <c r="G2" s="35" t="s">
        <v>221</v>
      </c>
      <c r="H2" s="35" t="s">
        <v>222</v>
      </c>
      <c r="I2" s="35" t="s">
        <v>223</v>
      </c>
    </row>
    <row r="3" spans="1:9" x14ac:dyDescent="0.25">
      <c r="A3" s="36" t="s">
        <v>338</v>
      </c>
      <c r="B3" s="36" t="s">
        <v>224</v>
      </c>
      <c r="C3" s="37">
        <v>62097</v>
      </c>
      <c r="D3" s="37">
        <v>61647</v>
      </c>
      <c r="E3" s="37">
        <v>55649</v>
      </c>
      <c r="F3" s="37">
        <v>55980</v>
      </c>
      <c r="G3" s="37">
        <v>55968</v>
      </c>
      <c r="H3" s="38">
        <v>-2.5644833949999999</v>
      </c>
      <c r="I3" s="38">
        <v>-2.1436226999999999E-2</v>
      </c>
    </row>
    <row r="4" spans="1:9" x14ac:dyDescent="0.25">
      <c r="A4" s="36" t="s">
        <v>338</v>
      </c>
      <c r="B4" s="36" t="s">
        <v>237</v>
      </c>
      <c r="C4" s="37">
        <v>17068</v>
      </c>
      <c r="D4" s="37">
        <v>17781</v>
      </c>
      <c r="E4" s="37">
        <v>16381</v>
      </c>
      <c r="F4" s="37">
        <v>15809</v>
      </c>
      <c r="G4" s="37">
        <v>15655</v>
      </c>
      <c r="H4" s="38">
        <v>-2.1372063030000001</v>
      </c>
      <c r="I4" s="38">
        <v>-0.97412866099999995</v>
      </c>
    </row>
    <row r="5" spans="1:9" x14ac:dyDescent="0.25">
      <c r="A5" s="39" t="s">
        <v>338</v>
      </c>
      <c r="B5" s="39" t="s">
        <v>238</v>
      </c>
      <c r="C5" s="40">
        <v>79165</v>
      </c>
      <c r="D5" s="40">
        <v>79428</v>
      </c>
      <c r="E5" s="40">
        <v>72030</v>
      </c>
      <c r="F5" s="40">
        <v>71789</v>
      </c>
      <c r="G5" s="40">
        <v>71623</v>
      </c>
      <c r="H5" s="41">
        <v>-2.4718866629999998</v>
      </c>
      <c r="I5" s="41">
        <v>-0.231233197</v>
      </c>
    </row>
    <row r="6" spans="1:9" x14ac:dyDescent="0.25">
      <c r="A6" s="36" t="s">
        <v>339</v>
      </c>
      <c r="B6" s="36" t="s">
        <v>224</v>
      </c>
      <c r="C6" s="37">
        <v>50921</v>
      </c>
      <c r="D6" s="37">
        <v>50417</v>
      </c>
      <c r="E6" s="37">
        <v>46816</v>
      </c>
      <c r="F6" s="37">
        <v>47047</v>
      </c>
      <c r="G6" s="37">
        <v>48973</v>
      </c>
      <c r="H6" s="38">
        <v>-0.97041791799999999</v>
      </c>
      <c r="I6" s="38">
        <v>4.0937785618999998</v>
      </c>
    </row>
    <row r="7" spans="1:9" x14ac:dyDescent="0.25">
      <c r="A7" s="36" t="s">
        <v>339</v>
      </c>
      <c r="B7" s="36" t="s">
        <v>237</v>
      </c>
      <c r="C7" s="37">
        <v>6963</v>
      </c>
      <c r="D7" s="37">
        <v>7587</v>
      </c>
      <c r="E7" s="37">
        <v>6999</v>
      </c>
      <c r="F7" s="37">
        <v>6920</v>
      </c>
      <c r="G7" s="37">
        <v>6569</v>
      </c>
      <c r="H7" s="38">
        <v>-1.4456684470000001</v>
      </c>
      <c r="I7" s="38">
        <v>-5.0722543350000002</v>
      </c>
    </row>
    <row r="8" spans="1:9" x14ac:dyDescent="0.25">
      <c r="A8" s="39" t="s">
        <v>339</v>
      </c>
      <c r="B8" s="39" t="s">
        <v>238</v>
      </c>
      <c r="C8" s="40">
        <v>57884</v>
      </c>
      <c r="D8" s="40">
        <v>58004</v>
      </c>
      <c r="E8" s="40">
        <v>53815</v>
      </c>
      <c r="F8" s="40">
        <v>53967</v>
      </c>
      <c r="G8" s="40">
        <v>55542</v>
      </c>
      <c r="H8" s="41">
        <v>-1.027225541</v>
      </c>
      <c r="I8" s="41">
        <v>2.9184501639999998</v>
      </c>
    </row>
    <row r="9" spans="1:9" x14ac:dyDescent="0.25">
      <c r="A9" s="36" t="s">
        <v>340</v>
      </c>
      <c r="B9" s="36" t="s">
        <v>224</v>
      </c>
      <c r="C9" s="37">
        <v>32378</v>
      </c>
      <c r="D9" s="37">
        <v>30918</v>
      </c>
      <c r="E9" s="37">
        <v>27724</v>
      </c>
      <c r="F9" s="37">
        <v>26945</v>
      </c>
      <c r="G9" s="37">
        <v>26641</v>
      </c>
      <c r="H9" s="38">
        <v>-4.758741391</v>
      </c>
      <c r="I9" s="38">
        <v>-1.12822416</v>
      </c>
    </row>
    <row r="10" spans="1:9" x14ac:dyDescent="0.25">
      <c r="A10" s="36" t="s">
        <v>340</v>
      </c>
      <c r="B10" s="36" t="s">
        <v>237</v>
      </c>
      <c r="C10" s="37">
        <v>11765</v>
      </c>
      <c r="D10" s="37">
        <v>12260</v>
      </c>
      <c r="E10" s="37">
        <v>11352</v>
      </c>
      <c r="F10" s="37">
        <v>10975</v>
      </c>
      <c r="G10" s="37">
        <v>10549</v>
      </c>
      <c r="H10" s="38">
        <v>-2.6905898150000001</v>
      </c>
      <c r="I10" s="38">
        <v>-3.8815489749999998</v>
      </c>
    </row>
    <row r="11" spans="1:9" x14ac:dyDescent="0.25">
      <c r="A11" s="39" t="s">
        <v>340</v>
      </c>
      <c r="B11" s="39" t="s">
        <v>238</v>
      </c>
      <c r="C11" s="40">
        <v>44143</v>
      </c>
      <c r="D11" s="40">
        <v>43178</v>
      </c>
      <c r="E11" s="40">
        <v>39076</v>
      </c>
      <c r="F11" s="40">
        <v>37920</v>
      </c>
      <c r="G11" s="40">
        <v>37190</v>
      </c>
      <c r="H11" s="41">
        <v>-4.1943584620000003</v>
      </c>
      <c r="I11" s="41">
        <v>-1.925105485</v>
      </c>
    </row>
    <row r="12" spans="1:9" x14ac:dyDescent="0.25">
      <c r="A12" s="36" t="s">
        <v>341</v>
      </c>
      <c r="B12" s="36" t="s">
        <v>224</v>
      </c>
      <c r="C12" s="37">
        <v>20682</v>
      </c>
      <c r="D12" s="37">
        <v>20687</v>
      </c>
      <c r="E12" s="37">
        <v>19012</v>
      </c>
      <c r="F12" s="37">
        <v>19613</v>
      </c>
      <c r="G12" s="37">
        <v>19485</v>
      </c>
      <c r="H12" s="38">
        <v>-1.479417918</v>
      </c>
      <c r="I12" s="38">
        <v>-0.65262835900000005</v>
      </c>
    </row>
    <row r="13" spans="1:9" x14ac:dyDescent="0.25">
      <c r="A13" s="36" t="s">
        <v>341</v>
      </c>
      <c r="B13" s="36" t="s">
        <v>237</v>
      </c>
      <c r="C13" s="37">
        <v>7106</v>
      </c>
      <c r="D13" s="37">
        <v>7085</v>
      </c>
      <c r="E13" s="37">
        <v>6440</v>
      </c>
      <c r="F13" s="37">
        <v>6083</v>
      </c>
      <c r="G13" s="37">
        <v>5766</v>
      </c>
      <c r="H13" s="38">
        <v>-5.0899157910000001</v>
      </c>
      <c r="I13" s="38">
        <v>-5.2112444519999999</v>
      </c>
    </row>
    <row r="14" spans="1:9" x14ac:dyDescent="0.25">
      <c r="A14" s="39" t="s">
        <v>341</v>
      </c>
      <c r="B14" s="39" t="s">
        <v>238</v>
      </c>
      <c r="C14" s="40">
        <v>27788</v>
      </c>
      <c r="D14" s="40">
        <v>27772</v>
      </c>
      <c r="E14" s="40">
        <v>25452</v>
      </c>
      <c r="F14" s="40">
        <v>25696</v>
      </c>
      <c r="G14" s="40">
        <v>25251</v>
      </c>
      <c r="H14" s="41">
        <v>-2.3650466880000001</v>
      </c>
      <c r="I14" s="41">
        <v>-1.731787049</v>
      </c>
    </row>
    <row r="15" spans="1:9" x14ac:dyDescent="0.25">
      <c r="A15" s="36" t="s">
        <v>342</v>
      </c>
      <c r="B15" s="36" t="s">
        <v>224</v>
      </c>
      <c r="C15" s="37">
        <v>11841</v>
      </c>
      <c r="D15" s="37">
        <v>11919</v>
      </c>
      <c r="E15" s="37">
        <v>11342</v>
      </c>
      <c r="F15" s="37">
        <v>10964</v>
      </c>
      <c r="G15" s="37">
        <v>11046</v>
      </c>
      <c r="H15" s="38">
        <v>-1.722485483</v>
      </c>
      <c r="I15" s="38">
        <v>0.74790222549999996</v>
      </c>
    </row>
    <row r="16" spans="1:9" x14ac:dyDescent="0.25">
      <c r="A16" s="36" t="s">
        <v>342</v>
      </c>
      <c r="B16" s="36" t="s">
        <v>237</v>
      </c>
      <c r="C16" s="37">
        <v>1357</v>
      </c>
      <c r="D16" s="37">
        <v>2143</v>
      </c>
      <c r="E16" s="37">
        <v>2178</v>
      </c>
      <c r="F16" s="37">
        <v>2450</v>
      </c>
      <c r="G16" s="37">
        <v>3010</v>
      </c>
      <c r="H16" s="38">
        <v>22.038444075000001</v>
      </c>
      <c r="I16" s="38">
        <v>22.857142856999999</v>
      </c>
    </row>
    <row r="17" spans="1:9" x14ac:dyDescent="0.25">
      <c r="A17" s="39" t="s">
        <v>342</v>
      </c>
      <c r="B17" s="39" t="s">
        <v>238</v>
      </c>
      <c r="C17" s="40">
        <v>13198</v>
      </c>
      <c r="D17" s="40">
        <v>14062</v>
      </c>
      <c r="E17" s="40">
        <v>13520</v>
      </c>
      <c r="F17" s="40">
        <v>13414</v>
      </c>
      <c r="G17" s="40">
        <v>14056</v>
      </c>
      <c r="H17" s="41">
        <v>1.5870633667</v>
      </c>
      <c r="I17" s="41">
        <v>4.7860444311999997</v>
      </c>
    </row>
    <row r="18" spans="1:9" x14ac:dyDescent="0.25">
      <c r="A18" s="36" t="s">
        <v>343</v>
      </c>
      <c r="B18" s="36" t="s">
        <v>224</v>
      </c>
      <c r="C18" s="37">
        <v>3818</v>
      </c>
      <c r="D18" s="37">
        <v>3942</v>
      </c>
      <c r="E18" s="37">
        <v>3860</v>
      </c>
      <c r="F18" s="37">
        <v>3831</v>
      </c>
      <c r="G18" s="37">
        <v>3787</v>
      </c>
      <c r="H18" s="38">
        <v>-0.20360684900000001</v>
      </c>
      <c r="I18" s="38">
        <v>-1.1485251889999999</v>
      </c>
    </row>
    <row r="19" spans="1:9" x14ac:dyDescent="0.25">
      <c r="A19" s="36" t="s">
        <v>343</v>
      </c>
      <c r="B19" s="36" t="s">
        <v>237</v>
      </c>
      <c r="C19" s="37" t="s">
        <v>608</v>
      </c>
      <c r="D19" s="37" t="s">
        <v>608</v>
      </c>
      <c r="E19" s="37" t="s">
        <v>608</v>
      </c>
      <c r="F19" s="37" t="s">
        <v>608</v>
      </c>
      <c r="G19" s="37" t="s">
        <v>608</v>
      </c>
      <c r="H19" s="37" t="s">
        <v>608</v>
      </c>
      <c r="I19" s="37" t="s">
        <v>608</v>
      </c>
    </row>
    <row r="20" spans="1:9" x14ac:dyDescent="0.25">
      <c r="A20" s="36" t="s">
        <v>343</v>
      </c>
      <c r="B20" s="39" t="s">
        <v>238</v>
      </c>
      <c r="C20" s="56" t="s">
        <v>608</v>
      </c>
      <c r="D20" s="56" t="s">
        <v>608</v>
      </c>
      <c r="E20" s="56" t="s">
        <v>608</v>
      </c>
      <c r="F20" s="56" t="s">
        <v>608</v>
      </c>
      <c r="G20" s="56" t="s">
        <v>608</v>
      </c>
      <c r="H20" s="56" t="s">
        <v>608</v>
      </c>
      <c r="I20" s="56" t="s">
        <v>608</v>
      </c>
    </row>
    <row r="21" spans="1:9" x14ac:dyDescent="0.25">
      <c r="A21" s="36" t="s">
        <v>344</v>
      </c>
      <c r="B21" s="36" t="s">
        <v>224</v>
      </c>
      <c r="C21" s="37">
        <v>4473</v>
      </c>
      <c r="D21" s="37">
        <v>4576</v>
      </c>
      <c r="E21" s="37">
        <v>4594</v>
      </c>
      <c r="F21" s="37">
        <v>4434</v>
      </c>
      <c r="G21" s="37">
        <v>4803</v>
      </c>
      <c r="H21" s="38">
        <v>1.7954630206</v>
      </c>
      <c r="I21" s="38">
        <v>8.3220568335999996</v>
      </c>
    </row>
    <row r="22" spans="1:9" x14ac:dyDescent="0.25">
      <c r="A22" s="36" t="s">
        <v>344</v>
      </c>
      <c r="B22" s="36" t="s">
        <v>237</v>
      </c>
      <c r="C22" s="37" t="s">
        <v>608</v>
      </c>
      <c r="D22" s="37" t="s">
        <v>608</v>
      </c>
      <c r="E22" s="37" t="s">
        <v>608</v>
      </c>
      <c r="F22" s="37" t="s">
        <v>608</v>
      </c>
      <c r="G22" s="37" t="s">
        <v>447</v>
      </c>
      <c r="H22" s="38" t="s">
        <v>352</v>
      </c>
      <c r="I22" s="38" t="s">
        <v>352</v>
      </c>
    </row>
    <row r="23" spans="1:9" x14ac:dyDescent="0.25">
      <c r="A23" s="36" t="s">
        <v>344</v>
      </c>
      <c r="B23" s="39" t="s">
        <v>238</v>
      </c>
      <c r="C23" s="56" t="s">
        <v>608</v>
      </c>
      <c r="D23" s="56" t="s">
        <v>608</v>
      </c>
      <c r="E23" s="56" t="s">
        <v>608</v>
      </c>
      <c r="F23" s="56" t="s">
        <v>608</v>
      </c>
      <c r="G23" s="56" t="s">
        <v>447</v>
      </c>
      <c r="H23" s="57" t="s">
        <v>352</v>
      </c>
      <c r="I23" s="57" t="s">
        <v>352</v>
      </c>
    </row>
    <row r="24" spans="1:9" x14ac:dyDescent="0.25">
      <c r="A24" s="36" t="s">
        <v>345</v>
      </c>
      <c r="B24" s="36" t="s">
        <v>224</v>
      </c>
      <c r="C24" s="37">
        <v>3141</v>
      </c>
      <c r="D24" s="37">
        <v>2860</v>
      </c>
      <c r="E24" s="37">
        <v>2818</v>
      </c>
      <c r="F24" s="37">
        <v>2498</v>
      </c>
      <c r="G24" s="37">
        <v>2472</v>
      </c>
      <c r="H24" s="38">
        <v>-5.812095995</v>
      </c>
      <c r="I24" s="38">
        <v>-1.040832666</v>
      </c>
    </row>
    <row r="25" spans="1:9" x14ac:dyDescent="0.25">
      <c r="A25" s="36" t="s">
        <v>345</v>
      </c>
      <c r="B25" s="36" t="s">
        <v>237</v>
      </c>
      <c r="C25" s="37" t="s">
        <v>608</v>
      </c>
      <c r="D25" s="37" t="s">
        <v>608</v>
      </c>
      <c r="E25" s="37" t="s">
        <v>608</v>
      </c>
      <c r="F25" s="37" t="s">
        <v>608</v>
      </c>
      <c r="G25" s="37" t="s">
        <v>608</v>
      </c>
      <c r="H25" s="37" t="s">
        <v>608</v>
      </c>
      <c r="I25" s="37" t="s">
        <v>608</v>
      </c>
    </row>
    <row r="26" spans="1:9" x14ac:dyDescent="0.25">
      <c r="A26" s="36" t="s">
        <v>345</v>
      </c>
      <c r="B26" s="39" t="s">
        <v>238</v>
      </c>
      <c r="C26" s="56" t="s">
        <v>608</v>
      </c>
      <c r="D26" s="56" t="s">
        <v>608</v>
      </c>
      <c r="E26" s="56" t="s">
        <v>608</v>
      </c>
      <c r="F26" s="56" t="s">
        <v>608</v>
      </c>
      <c r="G26" s="56" t="s">
        <v>608</v>
      </c>
      <c r="H26" s="56" t="s">
        <v>608</v>
      </c>
      <c r="I26" s="56" t="s">
        <v>608</v>
      </c>
    </row>
    <row r="27" spans="1:9" x14ac:dyDescent="0.25">
      <c r="A27" s="47" t="s">
        <v>235</v>
      </c>
      <c r="B27" s="47" t="s">
        <v>224</v>
      </c>
      <c r="C27" s="48">
        <v>189351</v>
      </c>
      <c r="D27" s="48">
        <v>186966</v>
      </c>
      <c r="E27" s="48">
        <v>171815</v>
      </c>
      <c r="F27" s="48">
        <v>171312</v>
      </c>
      <c r="G27" s="48">
        <v>173175</v>
      </c>
      <c r="H27" s="49">
        <v>-2.2077590429999998</v>
      </c>
      <c r="I27" s="49">
        <v>1.0874894929000001</v>
      </c>
    </row>
    <row r="28" spans="1:9" x14ac:dyDescent="0.25">
      <c r="A28" s="47" t="s">
        <v>235</v>
      </c>
      <c r="B28" s="47" t="s">
        <v>237</v>
      </c>
      <c r="C28" s="48">
        <v>46792</v>
      </c>
      <c r="D28" s="48">
        <v>49544</v>
      </c>
      <c r="E28" s="48">
        <v>45866</v>
      </c>
      <c r="F28" s="48">
        <v>44010</v>
      </c>
      <c r="G28" s="48">
        <v>42622</v>
      </c>
      <c r="H28" s="49">
        <v>-2.3065258609999999</v>
      </c>
      <c r="I28" s="49">
        <v>-3.1538286750000002</v>
      </c>
    </row>
    <row r="29" spans="1:9" x14ac:dyDescent="0.25">
      <c r="A29" s="42" t="s">
        <v>235</v>
      </c>
      <c r="B29" s="42" t="s">
        <v>238</v>
      </c>
      <c r="C29" s="43">
        <v>236143</v>
      </c>
      <c r="D29" s="43">
        <v>236510</v>
      </c>
      <c r="E29" s="43">
        <v>217681</v>
      </c>
      <c r="F29" s="43">
        <v>215322</v>
      </c>
      <c r="G29" s="43">
        <v>215797</v>
      </c>
      <c r="H29" s="44">
        <v>-2.2273060299999998</v>
      </c>
      <c r="I29" s="44">
        <v>0.2205998458</v>
      </c>
    </row>
    <row r="30" spans="1:9" x14ac:dyDescent="0.25">
      <c r="A30" s="76" t="s">
        <v>346</v>
      </c>
      <c r="B30" s="77"/>
      <c r="C30" s="77"/>
      <c r="D30" s="77"/>
      <c r="E30" s="77"/>
      <c r="F30" s="77"/>
      <c r="G30" s="77"/>
      <c r="H30" s="77"/>
      <c r="I30" s="77"/>
    </row>
    <row r="31" spans="1:9" x14ac:dyDescent="0.25">
      <c r="A31" s="45"/>
      <c r="B31" s="33"/>
      <c r="C31" s="33"/>
      <c r="D31" s="33"/>
      <c r="E31" s="33"/>
      <c r="F31" s="33"/>
      <c r="G31" s="33"/>
      <c r="H31" s="33"/>
      <c r="I31" s="33"/>
    </row>
    <row r="32" spans="1:9" x14ac:dyDescent="0.25">
      <c r="A32" s="33" t="s">
        <v>239</v>
      </c>
      <c r="B32" s="33"/>
      <c r="C32" s="33"/>
      <c r="D32" s="33"/>
      <c r="E32" s="33"/>
      <c r="F32" s="33"/>
      <c r="G32" s="33"/>
      <c r="H32" s="33"/>
      <c r="I32" s="33"/>
    </row>
    <row r="33" spans="1:9" x14ac:dyDescent="0.25">
      <c r="A33" s="46" t="s">
        <v>212</v>
      </c>
      <c r="B33" s="33"/>
      <c r="C33" s="33"/>
      <c r="D33" s="33"/>
      <c r="E33" s="33"/>
      <c r="F33" s="33"/>
      <c r="G33" s="33"/>
      <c r="H33" s="33"/>
      <c r="I33" s="33"/>
    </row>
    <row r="34" spans="1:9" x14ac:dyDescent="0.25">
      <c r="A34" s="33"/>
      <c r="B34" s="33"/>
      <c r="C34" s="33"/>
      <c r="D34" s="33"/>
      <c r="E34" s="33"/>
      <c r="F34" s="33"/>
      <c r="G34" s="33"/>
      <c r="H34" s="33"/>
      <c r="I34" s="33"/>
    </row>
    <row r="35" spans="1:9" x14ac:dyDescent="0.25">
      <c r="A35" s="46" t="s">
        <v>70</v>
      </c>
      <c r="B35" s="33"/>
      <c r="C35" s="33"/>
      <c r="D35" s="33"/>
      <c r="E35" s="33"/>
      <c r="F35" s="33"/>
      <c r="G35" s="33"/>
      <c r="H35" s="33"/>
      <c r="I35" s="33"/>
    </row>
    <row r="36" spans="1:9" x14ac:dyDescent="0.25">
      <c r="A36" s="33"/>
      <c r="B36" s="33"/>
      <c r="C36" s="33"/>
      <c r="D36" s="33"/>
      <c r="E36" s="33"/>
      <c r="F36" s="33"/>
      <c r="G36" s="33"/>
      <c r="H36" s="33"/>
      <c r="I36" s="33"/>
    </row>
    <row r="37" spans="1:9" x14ac:dyDescent="0.25">
      <c r="A37" s="46" t="s">
        <v>240</v>
      </c>
      <c r="B37" s="33"/>
      <c r="C37" s="33"/>
      <c r="D37" s="33"/>
      <c r="E37" s="33"/>
      <c r="F37" s="33"/>
      <c r="G37" s="33"/>
      <c r="H37" s="33"/>
      <c r="I37" s="33"/>
    </row>
  </sheetData>
  <mergeCells count="2">
    <mergeCell ref="A1:I1"/>
    <mergeCell ref="A30:I30"/>
  </mergeCells>
  <hyperlinks>
    <hyperlink ref="A33" r:id="rId1" xr:uid="{00000000-0004-0000-0B00-000000000000}"/>
    <hyperlink ref="A35" location="'Technical specifications'!A1" display="Technical specifications" xr:uid="{00000000-0004-0000-0B00-000001000000}"/>
    <hyperlink ref="A37" location="Contents!A1" display="Back to contents" xr:uid="{00000000-0004-0000-0B00-000002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0"/>
  <sheetViews>
    <sheetView workbookViewId="0">
      <selection sqref="A1:K1"/>
    </sheetView>
  </sheetViews>
  <sheetFormatPr defaultRowHeight="15" x14ac:dyDescent="0.25"/>
  <cols>
    <col min="1" max="1" width="30" customWidth="1"/>
    <col min="2" max="2" width="50" customWidth="1"/>
    <col min="3" max="11" width="8.42578125" customWidth="1"/>
  </cols>
  <sheetData>
    <row r="1" spans="1:11" ht="33.75" customHeight="1" x14ac:dyDescent="0.25">
      <c r="A1" s="74" t="s">
        <v>12</v>
      </c>
      <c r="B1" s="75"/>
      <c r="C1" s="75"/>
      <c r="D1" s="75"/>
      <c r="E1" s="75"/>
      <c r="F1" s="75"/>
      <c r="G1" s="75"/>
      <c r="H1" s="75"/>
      <c r="I1" s="75"/>
      <c r="J1" s="75"/>
      <c r="K1" s="75"/>
    </row>
    <row r="2" spans="1:11" x14ac:dyDescent="0.25">
      <c r="A2" s="34" t="s">
        <v>347</v>
      </c>
      <c r="B2" s="34" t="s">
        <v>242</v>
      </c>
      <c r="C2" s="35" t="s">
        <v>338</v>
      </c>
      <c r="D2" s="35" t="s">
        <v>339</v>
      </c>
      <c r="E2" s="35" t="s">
        <v>340</v>
      </c>
      <c r="F2" s="35" t="s">
        <v>341</v>
      </c>
      <c r="G2" s="35" t="s">
        <v>342</v>
      </c>
      <c r="H2" s="35" t="s">
        <v>343</v>
      </c>
      <c r="I2" s="35" t="s">
        <v>344</v>
      </c>
      <c r="J2" s="35" t="s">
        <v>345</v>
      </c>
      <c r="K2" s="35" t="s">
        <v>235</v>
      </c>
    </row>
    <row r="3" spans="1:11" x14ac:dyDescent="0.25">
      <c r="A3" s="36" t="s">
        <v>348</v>
      </c>
      <c r="B3" s="36" t="s">
        <v>349</v>
      </c>
      <c r="C3" s="37">
        <v>6535</v>
      </c>
      <c r="D3" s="37">
        <v>2010</v>
      </c>
      <c r="E3" s="37">
        <v>6756</v>
      </c>
      <c r="F3" s="37">
        <v>2228</v>
      </c>
      <c r="G3" s="37">
        <v>1145</v>
      </c>
      <c r="H3" s="37">
        <v>484</v>
      </c>
      <c r="I3" s="37">
        <v>187</v>
      </c>
      <c r="J3" s="37">
        <v>1483</v>
      </c>
      <c r="K3" s="37">
        <v>20828</v>
      </c>
    </row>
    <row r="4" spans="1:11" x14ac:dyDescent="0.25">
      <c r="A4" s="36" t="s">
        <v>350</v>
      </c>
      <c r="B4" s="36" t="s">
        <v>349</v>
      </c>
      <c r="C4" s="37">
        <v>82028</v>
      </c>
      <c r="D4" s="37">
        <v>71465</v>
      </c>
      <c r="E4" s="37">
        <v>53617</v>
      </c>
      <c r="F4" s="37">
        <v>30710</v>
      </c>
      <c r="G4" s="37">
        <v>18281</v>
      </c>
      <c r="H4" s="37">
        <v>4669</v>
      </c>
      <c r="I4" s="37">
        <v>3832</v>
      </c>
      <c r="J4" s="37">
        <v>2119</v>
      </c>
      <c r="K4" s="37">
        <v>266721</v>
      </c>
    </row>
    <row r="5" spans="1:11" x14ac:dyDescent="0.25">
      <c r="A5" s="36" t="s">
        <v>351</v>
      </c>
      <c r="B5" s="36" t="s">
        <v>349</v>
      </c>
      <c r="C5" s="37">
        <v>5633</v>
      </c>
      <c r="D5" s="37">
        <v>511</v>
      </c>
      <c r="E5" s="37">
        <v>1037</v>
      </c>
      <c r="F5" s="38" t="s">
        <v>352</v>
      </c>
      <c r="G5" s="37">
        <v>209</v>
      </c>
      <c r="H5" s="37">
        <v>610</v>
      </c>
      <c r="I5" s="37">
        <v>1886</v>
      </c>
      <c r="J5" s="37">
        <v>2</v>
      </c>
      <c r="K5" s="37">
        <v>9888</v>
      </c>
    </row>
    <row r="6" spans="1:11" x14ac:dyDescent="0.25">
      <c r="A6" s="47" t="s">
        <v>235</v>
      </c>
      <c r="B6" s="47" t="s">
        <v>349</v>
      </c>
      <c r="C6" s="48">
        <v>94196</v>
      </c>
      <c r="D6" s="48">
        <v>73986</v>
      </c>
      <c r="E6" s="48">
        <v>61410</v>
      </c>
      <c r="F6" s="48">
        <v>32938</v>
      </c>
      <c r="G6" s="48">
        <v>19635</v>
      </c>
      <c r="H6" s="48">
        <v>5763</v>
      </c>
      <c r="I6" s="48">
        <v>5905</v>
      </c>
      <c r="J6" s="48">
        <v>3604</v>
      </c>
      <c r="K6" s="48">
        <v>297437</v>
      </c>
    </row>
    <row r="7" spans="1:11" x14ac:dyDescent="0.25">
      <c r="A7" s="36" t="s">
        <v>348</v>
      </c>
      <c r="B7" s="36" t="s">
        <v>353</v>
      </c>
      <c r="C7" s="38">
        <v>11.000880969000001</v>
      </c>
      <c r="D7" s="38">
        <v>14.723014834000001</v>
      </c>
      <c r="E7" s="38">
        <v>13.693554784</v>
      </c>
      <c r="F7" s="38">
        <v>11.202885823000001</v>
      </c>
      <c r="G7" s="38">
        <v>13.393640016999999</v>
      </c>
      <c r="H7" s="38">
        <v>9.5536094477999995</v>
      </c>
      <c r="I7" s="38">
        <v>12.604524131</v>
      </c>
      <c r="J7" s="38">
        <v>14.658198990000001</v>
      </c>
      <c r="K7" s="38">
        <v>12.433224730999999</v>
      </c>
    </row>
    <row r="8" spans="1:11" x14ac:dyDescent="0.25">
      <c r="A8" s="36" t="s">
        <v>354</v>
      </c>
      <c r="B8" s="36" t="s">
        <v>353</v>
      </c>
      <c r="C8" s="38">
        <v>13.185784628</v>
      </c>
      <c r="D8" s="38">
        <v>12.600796939</v>
      </c>
      <c r="E8" s="38">
        <v>13.100894200999999</v>
      </c>
      <c r="F8" s="38">
        <v>12.979464344</v>
      </c>
      <c r="G8" s="38">
        <v>13.316306671</v>
      </c>
      <c r="H8" s="38">
        <v>13.517503929</v>
      </c>
      <c r="I8" s="38">
        <v>14.895572635000001</v>
      </c>
      <c r="J8" s="38">
        <v>13.595763319</v>
      </c>
      <c r="K8" s="38">
        <v>13.035340322</v>
      </c>
    </row>
    <row r="9" spans="1:11" x14ac:dyDescent="0.25">
      <c r="A9" s="39" t="s">
        <v>355</v>
      </c>
      <c r="B9" s="39" t="s">
        <v>353</v>
      </c>
      <c r="C9" s="41">
        <v>13.006502092</v>
      </c>
      <c r="D9" s="41">
        <v>12.650335315</v>
      </c>
      <c r="E9" s="41">
        <v>13.163572058</v>
      </c>
      <c r="F9" s="41">
        <v>12.841713133000001</v>
      </c>
      <c r="G9" s="41">
        <v>13.320791778</v>
      </c>
      <c r="H9" s="41">
        <v>13.061938456</v>
      </c>
      <c r="I9" s="41">
        <v>14.8103227</v>
      </c>
      <c r="J9" s="41">
        <v>14.013720558999999</v>
      </c>
      <c r="K9" s="41">
        <v>12.991258595</v>
      </c>
    </row>
    <row r="10" spans="1:11" x14ac:dyDescent="0.25">
      <c r="A10" s="36" t="s">
        <v>348</v>
      </c>
      <c r="B10" s="36" t="s">
        <v>356</v>
      </c>
      <c r="C10" s="38">
        <v>4.3684031097</v>
      </c>
      <c r="D10" s="38">
        <v>3.8782125492000001</v>
      </c>
      <c r="E10" s="38">
        <v>3.1299948574999998</v>
      </c>
      <c r="F10" s="38">
        <v>1.8531765175999999</v>
      </c>
      <c r="G10" s="38">
        <v>2.7305463476999998</v>
      </c>
      <c r="H10" s="38">
        <v>3.0037857630000002</v>
      </c>
      <c r="I10" s="38">
        <v>2.9791301576999998</v>
      </c>
      <c r="J10" s="38">
        <v>1.1597897831999999</v>
      </c>
      <c r="K10" s="38">
        <v>2.8543667234000001</v>
      </c>
    </row>
    <row r="11" spans="1:11" x14ac:dyDescent="0.25">
      <c r="A11" s="36" t="s">
        <v>350</v>
      </c>
      <c r="B11" s="36" t="s">
        <v>356</v>
      </c>
      <c r="C11" s="38">
        <v>2.4516099337999999</v>
      </c>
      <c r="D11" s="38">
        <v>2.2195147099999999</v>
      </c>
      <c r="E11" s="38">
        <v>1.8640204115000001</v>
      </c>
      <c r="F11" s="38">
        <v>2.5374083896999999</v>
      </c>
      <c r="G11" s="38">
        <v>2.2108755096000001</v>
      </c>
      <c r="H11" s="38">
        <v>1.7443641608</v>
      </c>
      <c r="I11" s="38">
        <v>2.5178390737999998</v>
      </c>
      <c r="J11" s="38">
        <v>3.0849189827000001</v>
      </c>
      <c r="K11" s="38">
        <v>2.2286459137999999</v>
      </c>
    </row>
    <row r="12" spans="1:11" x14ac:dyDescent="0.25">
      <c r="A12" s="36" t="s">
        <v>351</v>
      </c>
      <c r="B12" s="36" t="s">
        <v>356</v>
      </c>
      <c r="C12" s="38">
        <v>5.1769138866000004</v>
      </c>
      <c r="D12" s="38">
        <v>1.0013717420999999</v>
      </c>
      <c r="E12" s="38">
        <v>1.0400786328</v>
      </c>
      <c r="F12" s="38" t="s">
        <v>352</v>
      </c>
      <c r="G12" s="38">
        <v>0.54703449719999997</v>
      </c>
      <c r="H12" s="38">
        <v>5.1507219455</v>
      </c>
      <c r="I12" s="38">
        <v>32.828546562</v>
      </c>
      <c r="J12" s="38">
        <v>0.24360535929999999</v>
      </c>
      <c r="K12" s="38">
        <v>3.1275402566000001</v>
      </c>
    </row>
    <row r="13" spans="1:11" x14ac:dyDescent="0.25">
      <c r="A13" s="42" t="s">
        <v>235</v>
      </c>
      <c r="B13" s="42" t="s">
        <v>356</v>
      </c>
      <c r="C13" s="44">
        <v>2.6134412048</v>
      </c>
      <c r="D13" s="44">
        <v>2.2266790983</v>
      </c>
      <c r="E13" s="44">
        <v>1.9238914676000001</v>
      </c>
      <c r="F13" s="44">
        <v>2.4755809023999999</v>
      </c>
      <c r="G13" s="44">
        <v>2.1648147862</v>
      </c>
      <c r="H13" s="44">
        <v>1.9494753363999999</v>
      </c>
      <c r="I13" s="44">
        <v>3.5958737272999999</v>
      </c>
      <c r="J13" s="44">
        <v>1.8259380478</v>
      </c>
      <c r="K13" s="44">
        <v>2.2855686369999999</v>
      </c>
    </row>
    <row r="14" spans="1:11" x14ac:dyDescent="0.25">
      <c r="A14" s="45"/>
      <c r="B14" s="33"/>
      <c r="C14" s="33"/>
      <c r="D14" s="33"/>
      <c r="E14" s="33"/>
      <c r="F14" s="33"/>
      <c r="G14" s="33"/>
      <c r="H14" s="33"/>
      <c r="I14" s="33"/>
      <c r="J14" s="33"/>
      <c r="K14" s="33"/>
    </row>
    <row r="15" spans="1:11" x14ac:dyDescent="0.25">
      <c r="A15" s="33" t="s">
        <v>239</v>
      </c>
      <c r="B15" s="33"/>
      <c r="C15" s="33"/>
      <c r="D15" s="33"/>
      <c r="E15" s="33"/>
      <c r="F15" s="33"/>
      <c r="G15" s="33"/>
      <c r="H15" s="33"/>
      <c r="I15" s="33"/>
      <c r="J15" s="33"/>
      <c r="K15" s="33"/>
    </row>
    <row r="16" spans="1:11" x14ac:dyDescent="0.25">
      <c r="A16" s="46" t="s">
        <v>212</v>
      </c>
      <c r="B16" s="33"/>
      <c r="C16" s="33"/>
      <c r="D16" s="33"/>
      <c r="E16" s="33"/>
      <c r="F16" s="33"/>
      <c r="G16" s="33"/>
      <c r="H16" s="33"/>
      <c r="I16" s="33"/>
      <c r="J16" s="33"/>
      <c r="K16" s="33"/>
    </row>
    <row r="17" spans="1:11" x14ac:dyDescent="0.25">
      <c r="A17" s="33"/>
      <c r="B17" s="33"/>
      <c r="C17" s="33"/>
      <c r="D17" s="33"/>
      <c r="E17" s="33"/>
      <c r="F17" s="33"/>
      <c r="G17" s="33"/>
      <c r="H17" s="33"/>
      <c r="I17" s="33"/>
      <c r="J17" s="33"/>
      <c r="K17" s="33"/>
    </row>
    <row r="18" spans="1:11" x14ac:dyDescent="0.25">
      <c r="A18" s="46" t="s">
        <v>70</v>
      </c>
      <c r="B18" s="33"/>
      <c r="C18" s="33"/>
      <c r="D18" s="33"/>
      <c r="E18" s="33"/>
      <c r="F18" s="33"/>
      <c r="G18" s="33"/>
      <c r="H18" s="33"/>
      <c r="I18" s="33"/>
      <c r="J18" s="33"/>
      <c r="K18" s="33"/>
    </row>
    <row r="19" spans="1:11" x14ac:dyDescent="0.25">
      <c r="A19" s="33"/>
      <c r="B19" s="33"/>
      <c r="C19" s="33"/>
      <c r="D19" s="33"/>
      <c r="E19" s="33"/>
      <c r="F19" s="33"/>
      <c r="G19" s="33"/>
      <c r="H19" s="33"/>
      <c r="I19" s="33"/>
      <c r="J19" s="33"/>
      <c r="K19" s="33"/>
    </row>
    <row r="20" spans="1:11" x14ac:dyDescent="0.25">
      <c r="A20" s="46" t="s">
        <v>240</v>
      </c>
      <c r="B20" s="33"/>
      <c r="C20" s="33"/>
      <c r="D20" s="33"/>
      <c r="E20" s="33"/>
      <c r="F20" s="33"/>
      <c r="G20" s="33"/>
      <c r="H20" s="33"/>
      <c r="I20" s="33"/>
      <c r="J20" s="33"/>
      <c r="K20" s="33"/>
    </row>
  </sheetData>
  <mergeCells count="1">
    <mergeCell ref="A1:K1"/>
  </mergeCells>
  <hyperlinks>
    <hyperlink ref="A16" r:id="rId1" xr:uid="{00000000-0004-0000-0C00-000000000000}"/>
    <hyperlink ref="A18" location="'Technical specifications'!A1" display="Technical specifications" xr:uid="{00000000-0004-0000-0C00-000001000000}"/>
    <hyperlink ref="A20" location="Contents!A1" display="Back to contents" xr:uid="{00000000-0004-0000-0C00-000002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1"/>
  <sheetViews>
    <sheetView workbookViewId="0">
      <selection sqref="A1:D1"/>
    </sheetView>
  </sheetViews>
  <sheetFormatPr defaultRowHeight="15" x14ac:dyDescent="0.25"/>
  <cols>
    <col min="1" max="1" width="65" customWidth="1"/>
    <col min="2" max="4" width="20" customWidth="1"/>
  </cols>
  <sheetData>
    <row r="1" spans="1:4" ht="33.75" customHeight="1" x14ac:dyDescent="0.25">
      <c r="A1" s="74" t="s">
        <v>13</v>
      </c>
      <c r="B1" s="75"/>
      <c r="C1" s="75"/>
      <c r="D1" s="75"/>
    </row>
    <row r="2" spans="1:4" x14ac:dyDescent="0.25">
      <c r="A2" s="34" t="s">
        <v>357</v>
      </c>
      <c r="B2" s="35" t="s">
        <v>224</v>
      </c>
      <c r="C2" s="35" t="s">
        <v>237</v>
      </c>
      <c r="D2" s="35" t="s">
        <v>238</v>
      </c>
    </row>
    <row r="3" spans="1:4" x14ac:dyDescent="0.25">
      <c r="A3" s="36" t="s">
        <v>358</v>
      </c>
      <c r="B3" s="37">
        <v>15506</v>
      </c>
      <c r="C3" s="37">
        <v>2882</v>
      </c>
      <c r="D3" s="37">
        <v>18388</v>
      </c>
    </row>
    <row r="4" spans="1:4" x14ac:dyDescent="0.25">
      <c r="A4" s="36" t="s">
        <v>359</v>
      </c>
      <c r="B4" s="37">
        <v>10693</v>
      </c>
      <c r="C4" s="37">
        <v>1656</v>
      </c>
      <c r="D4" s="37">
        <v>12349</v>
      </c>
    </row>
    <row r="5" spans="1:4" x14ac:dyDescent="0.25">
      <c r="A5" s="36" t="s">
        <v>360</v>
      </c>
      <c r="B5" s="37">
        <v>10670</v>
      </c>
      <c r="C5" s="37">
        <v>633</v>
      </c>
      <c r="D5" s="37">
        <v>11303</v>
      </c>
    </row>
    <row r="6" spans="1:4" x14ac:dyDescent="0.25">
      <c r="A6" s="36" t="s">
        <v>361</v>
      </c>
      <c r="B6" s="37">
        <v>6005</v>
      </c>
      <c r="C6" s="37">
        <v>1474</v>
      </c>
      <c r="D6" s="37">
        <v>7479</v>
      </c>
    </row>
    <row r="7" spans="1:4" x14ac:dyDescent="0.25">
      <c r="A7" s="36" t="s">
        <v>362</v>
      </c>
      <c r="B7" s="37">
        <v>4482</v>
      </c>
      <c r="C7" s="37">
        <v>755</v>
      </c>
      <c r="D7" s="37">
        <v>5237</v>
      </c>
    </row>
    <row r="8" spans="1:4" x14ac:dyDescent="0.25">
      <c r="A8" s="36" t="s">
        <v>363</v>
      </c>
      <c r="B8" s="37">
        <v>3003</v>
      </c>
      <c r="C8" s="37">
        <v>188</v>
      </c>
      <c r="D8" s="37">
        <v>3191</v>
      </c>
    </row>
    <row r="9" spans="1:4" x14ac:dyDescent="0.25">
      <c r="A9" s="36" t="s">
        <v>364</v>
      </c>
      <c r="B9" s="37">
        <v>2389</v>
      </c>
      <c r="C9" s="37">
        <v>388</v>
      </c>
      <c r="D9" s="37">
        <v>2777</v>
      </c>
    </row>
    <row r="10" spans="1:4" x14ac:dyDescent="0.25">
      <c r="A10" s="36" t="s">
        <v>365</v>
      </c>
      <c r="B10" s="37">
        <v>1418</v>
      </c>
      <c r="C10" s="37">
        <v>608</v>
      </c>
      <c r="D10" s="37">
        <v>2026</v>
      </c>
    </row>
    <row r="11" spans="1:4" x14ac:dyDescent="0.25">
      <c r="A11" s="36" t="s">
        <v>366</v>
      </c>
      <c r="B11" s="37">
        <v>1061</v>
      </c>
      <c r="C11" s="37">
        <v>287</v>
      </c>
      <c r="D11" s="37">
        <v>1348</v>
      </c>
    </row>
    <row r="12" spans="1:4" x14ac:dyDescent="0.25">
      <c r="A12" s="36" t="s">
        <v>367</v>
      </c>
      <c r="B12" s="37">
        <v>1116</v>
      </c>
      <c r="C12" s="37">
        <v>61</v>
      </c>
      <c r="D12" s="37">
        <v>1177</v>
      </c>
    </row>
    <row r="13" spans="1:4" x14ac:dyDescent="0.25">
      <c r="A13" s="36" t="s">
        <v>368</v>
      </c>
      <c r="B13" s="37">
        <v>1024</v>
      </c>
      <c r="C13" s="37">
        <v>44</v>
      </c>
      <c r="D13" s="37">
        <v>1068</v>
      </c>
    </row>
    <row r="14" spans="1:4" x14ac:dyDescent="0.25">
      <c r="A14" s="36" t="s">
        <v>369</v>
      </c>
      <c r="B14" s="37">
        <v>946</v>
      </c>
      <c r="C14" s="37">
        <v>79</v>
      </c>
      <c r="D14" s="37">
        <v>1025</v>
      </c>
    </row>
    <row r="15" spans="1:4" x14ac:dyDescent="0.25">
      <c r="A15" s="36" t="s">
        <v>370</v>
      </c>
      <c r="B15" s="37">
        <v>891</v>
      </c>
      <c r="C15" s="37">
        <v>91</v>
      </c>
      <c r="D15" s="37">
        <v>982</v>
      </c>
    </row>
    <row r="16" spans="1:4" x14ac:dyDescent="0.25">
      <c r="A16" s="36" t="s">
        <v>371</v>
      </c>
      <c r="B16" s="37">
        <v>759</v>
      </c>
      <c r="C16" s="37">
        <v>126</v>
      </c>
      <c r="D16" s="37">
        <v>885</v>
      </c>
    </row>
    <row r="17" spans="1:4" x14ac:dyDescent="0.25">
      <c r="A17" s="36" t="s">
        <v>372</v>
      </c>
      <c r="B17" s="37">
        <v>768</v>
      </c>
      <c r="C17" s="37">
        <v>83</v>
      </c>
      <c r="D17" s="37">
        <v>851</v>
      </c>
    </row>
    <row r="18" spans="1:4" x14ac:dyDescent="0.25">
      <c r="A18" s="36" t="s">
        <v>373</v>
      </c>
      <c r="B18" s="37">
        <v>547</v>
      </c>
      <c r="C18" s="37">
        <v>51</v>
      </c>
      <c r="D18" s="37">
        <v>598</v>
      </c>
    </row>
    <row r="19" spans="1:4" x14ac:dyDescent="0.25">
      <c r="A19" s="36" t="s">
        <v>374</v>
      </c>
      <c r="B19" s="37">
        <v>572</v>
      </c>
      <c r="C19" s="37">
        <v>18</v>
      </c>
      <c r="D19" s="37">
        <v>590</v>
      </c>
    </row>
    <row r="20" spans="1:4" x14ac:dyDescent="0.25">
      <c r="A20" s="36" t="s">
        <v>375</v>
      </c>
      <c r="B20" s="37">
        <v>390</v>
      </c>
      <c r="C20" s="37">
        <v>78</v>
      </c>
      <c r="D20" s="37">
        <v>468</v>
      </c>
    </row>
    <row r="21" spans="1:4" x14ac:dyDescent="0.25">
      <c r="A21" s="36" t="s">
        <v>376</v>
      </c>
      <c r="B21" s="37">
        <v>435</v>
      </c>
      <c r="C21" s="37">
        <v>14</v>
      </c>
      <c r="D21" s="37">
        <v>449</v>
      </c>
    </row>
    <row r="22" spans="1:4" x14ac:dyDescent="0.25">
      <c r="A22" s="36" t="s">
        <v>377</v>
      </c>
      <c r="B22" s="37">
        <v>417</v>
      </c>
      <c r="C22" s="37">
        <v>19</v>
      </c>
      <c r="D22" s="37">
        <v>436</v>
      </c>
    </row>
    <row r="23" spans="1:4" x14ac:dyDescent="0.25">
      <c r="A23" s="36" t="s">
        <v>183</v>
      </c>
      <c r="B23" s="37">
        <v>8461</v>
      </c>
      <c r="C23" s="37">
        <v>551</v>
      </c>
      <c r="D23" s="37">
        <v>9012</v>
      </c>
    </row>
    <row r="24" spans="1:4" x14ac:dyDescent="0.25">
      <c r="A24" s="42" t="s">
        <v>235</v>
      </c>
      <c r="B24" s="43">
        <v>71553</v>
      </c>
      <c r="C24" s="43">
        <v>10086</v>
      </c>
      <c r="D24" s="43">
        <v>81639</v>
      </c>
    </row>
    <row r="25" spans="1:4" x14ac:dyDescent="0.25">
      <c r="A25" s="45"/>
      <c r="B25" s="33"/>
      <c r="C25" s="33"/>
      <c r="D25" s="33"/>
    </row>
    <row r="26" spans="1:4" x14ac:dyDescent="0.25">
      <c r="A26" s="33" t="s">
        <v>239</v>
      </c>
      <c r="B26" s="33"/>
      <c r="C26" s="33"/>
      <c r="D26" s="33"/>
    </row>
    <row r="27" spans="1:4" x14ac:dyDescent="0.25">
      <c r="A27" s="46" t="s">
        <v>212</v>
      </c>
      <c r="B27" s="33"/>
      <c r="C27" s="33"/>
      <c r="D27" s="33"/>
    </row>
    <row r="28" spans="1:4" x14ac:dyDescent="0.25">
      <c r="A28" s="33"/>
      <c r="B28" s="33"/>
      <c r="C28" s="33"/>
      <c r="D28" s="33"/>
    </row>
    <row r="29" spans="1:4" x14ac:dyDescent="0.25">
      <c r="A29" s="46" t="s">
        <v>70</v>
      </c>
      <c r="B29" s="33"/>
      <c r="C29" s="33"/>
      <c r="D29" s="33"/>
    </row>
    <row r="30" spans="1:4" x14ac:dyDescent="0.25">
      <c r="A30" s="33"/>
      <c r="B30" s="33"/>
      <c r="C30" s="33"/>
      <c r="D30" s="33"/>
    </row>
    <row r="31" spans="1:4" x14ac:dyDescent="0.25">
      <c r="A31" s="46" t="s">
        <v>240</v>
      </c>
      <c r="B31" s="33"/>
      <c r="C31" s="33"/>
      <c r="D31" s="33"/>
    </row>
  </sheetData>
  <mergeCells count="1">
    <mergeCell ref="A1:D1"/>
  </mergeCells>
  <hyperlinks>
    <hyperlink ref="A27" r:id="rId1" xr:uid="{00000000-0004-0000-0D00-000000000000}"/>
    <hyperlink ref="A29" location="'Technical specifications'!A1" display="Technical specifications" xr:uid="{00000000-0004-0000-0D00-000001000000}"/>
    <hyperlink ref="A31" location="Contents!A1" display="Back to contents" xr:uid="{00000000-0004-0000-0D00-000002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31"/>
  <sheetViews>
    <sheetView workbookViewId="0">
      <selection sqref="A1:D1"/>
    </sheetView>
  </sheetViews>
  <sheetFormatPr defaultRowHeight="15" x14ac:dyDescent="0.25"/>
  <cols>
    <col min="1" max="1" width="65" customWidth="1"/>
    <col min="2" max="4" width="20" customWidth="1"/>
  </cols>
  <sheetData>
    <row r="1" spans="1:4" ht="33.75" customHeight="1" x14ac:dyDescent="0.25">
      <c r="A1" s="74" t="s">
        <v>14</v>
      </c>
      <c r="B1" s="75"/>
      <c r="C1" s="75"/>
      <c r="D1" s="75"/>
    </row>
    <row r="2" spans="1:4" x14ac:dyDescent="0.25">
      <c r="A2" s="34" t="s">
        <v>357</v>
      </c>
      <c r="B2" s="35" t="s">
        <v>224</v>
      </c>
      <c r="C2" s="35" t="s">
        <v>237</v>
      </c>
      <c r="D2" s="35" t="s">
        <v>238</v>
      </c>
    </row>
    <row r="3" spans="1:4" x14ac:dyDescent="0.25">
      <c r="A3" s="36" t="s">
        <v>365</v>
      </c>
      <c r="B3" s="37">
        <v>96836</v>
      </c>
      <c r="C3" s="37">
        <v>28803</v>
      </c>
      <c r="D3" s="37">
        <v>125639</v>
      </c>
    </row>
    <row r="4" spans="1:4" x14ac:dyDescent="0.25">
      <c r="A4" s="36" t="s">
        <v>360</v>
      </c>
      <c r="B4" s="37">
        <v>29683</v>
      </c>
      <c r="C4" s="37">
        <v>5039</v>
      </c>
      <c r="D4" s="37">
        <v>34722</v>
      </c>
    </row>
    <row r="5" spans="1:4" x14ac:dyDescent="0.25">
      <c r="A5" s="36" t="s">
        <v>362</v>
      </c>
      <c r="B5" s="37">
        <v>4453</v>
      </c>
      <c r="C5" s="37">
        <v>673</v>
      </c>
      <c r="D5" s="37">
        <v>5126</v>
      </c>
    </row>
    <row r="6" spans="1:4" x14ac:dyDescent="0.25">
      <c r="A6" s="36" t="s">
        <v>359</v>
      </c>
      <c r="B6" s="37">
        <v>3616</v>
      </c>
      <c r="C6" s="37">
        <v>593</v>
      </c>
      <c r="D6" s="37">
        <v>4209</v>
      </c>
    </row>
    <row r="7" spans="1:4" x14ac:dyDescent="0.25">
      <c r="A7" s="36" t="s">
        <v>361</v>
      </c>
      <c r="B7" s="37">
        <v>2409</v>
      </c>
      <c r="C7" s="37">
        <v>1451</v>
      </c>
      <c r="D7" s="37">
        <v>3860</v>
      </c>
    </row>
    <row r="8" spans="1:4" x14ac:dyDescent="0.25">
      <c r="A8" s="36" t="s">
        <v>368</v>
      </c>
      <c r="B8" s="37">
        <v>3280</v>
      </c>
      <c r="C8" s="37">
        <v>329</v>
      </c>
      <c r="D8" s="37">
        <v>3609</v>
      </c>
    </row>
    <row r="9" spans="1:4" x14ac:dyDescent="0.25">
      <c r="A9" s="36" t="s">
        <v>363</v>
      </c>
      <c r="B9" s="37">
        <v>3099</v>
      </c>
      <c r="C9" s="37">
        <v>425</v>
      </c>
      <c r="D9" s="37">
        <v>3524</v>
      </c>
    </row>
    <row r="10" spans="1:4" x14ac:dyDescent="0.25">
      <c r="A10" s="36" t="s">
        <v>364</v>
      </c>
      <c r="B10" s="37">
        <v>2802</v>
      </c>
      <c r="C10" s="37">
        <v>442</v>
      </c>
      <c r="D10" s="37">
        <v>3244</v>
      </c>
    </row>
    <row r="11" spans="1:4" x14ac:dyDescent="0.25">
      <c r="A11" s="36" t="s">
        <v>358</v>
      </c>
      <c r="B11" s="37">
        <v>2598</v>
      </c>
      <c r="C11" s="37">
        <v>593</v>
      </c>
      <c r="D11" s="37">
        <v>3191</v>
      </c>
    </row>
    <row r="12" spans="1:4" x14ac:dyDescent="0.25">
      <c r="A12" s="36" t="s">
        <v>367</v>
      </c>
      <c r="B12" s="37">
        <v>2427</v>
      </c>
      <c r="C12" s="37">
        <v>128</v>
      </c>
      <c r="D12" s="37">
        <v>2555</v>
      </c>
    </row>
    <row r="13" spans="1:4" x14ac:dyDescent="0.25">
      <c r="A13" s="36" t="s">
        <v>378</v>
      </c>
      <c r="B13" s="37">
        <v>2148</v>
      </c>
      <c r="C13" s="37">
        <v>186</v>
      </c>
      <c r="D13" s="37">
        <v>2334</v>
      </c>
    </row>
    <row r="14" spans="1:4" x14ac:dyDescent="0.25">
      <c r="A14" s="36" t="s">
        <v>369</v>
      </c>
      <c r="B14" s="37">
        <v>2117</v>
      </c>
      <c r="C14" s="37">
        <v>212</v>
      </c>
      <c r="D14" s="37">
        <v>2329</v>
      </c>
    </row>
    <row r="15" spans="1:4" x14ac:dyDescent="0.25">
      <c r="A15" s="36" t="s">
        <v>379</v>
      </c>
      <c r="B15" s="37">
        <v>1253</v>
      </c>
      <c r="C15" s="37">
        <v>1023</v>
      </c>
      <c r="D15" s="37">
        <v>2276</v>
      </c>
    </row>
    <row r="16" spans="1:4" x14ac:dyDescent="0.25">
      <c r="A16" s="36" t="s">
        <v>366</v>
      </c>
      <c r="B16" s="37">
        <v>1481</v>
      </c>
      <c r="C16" s="37">
        <v>429</v>
      </c>
      <c r="D16" s="37">
        <v>1910</v>
      </c>
    </row>
    <row r="17" spans="1:4" x14ac:dyDescent="0.25">
      <c r="A17" s="36" t="s">
        <v>371</v>
      </c>
      <c r="B17" s="37">
        <v>1228</v>
      </c>
      <c r="C17" s="37">
        <v>134</v>
      </c>
      <c r="D17" s="37">
        <v>1362</v>
      </c>
    </row>
    <row r="18" spans="1:4" x14ac:dyDescent="0.25">
      <c r="A18" s="36" t="s">
        <v>380</v>
      </c>
      <c r="B18" s="37">
        <v>1010</v>
      </c>
      <c r="C18" s="37">
        <v>146</v>
      </c>
      <c r="D18" s="37">
        <v>1156</v>
      </c>
    </row>
    <row r="19" spans="1:4" x14ac:dyDescent="0.25">
      <c r="A19" s="36" t="s">
        <v>374</v>
      </c>
      <c r="B19" s="37">
        <v>829</v>
      </c>
      <c r="C19" s="37">
        <v>203</v>
      </c>
      <c r="D19" s="37">
        <v>1032</v>
      </c>
    </row>
    <row r="20" spans="1:4" x14ac:dyDescent="0.25">
      <c r="A20" s="36" t="s">
        <v>381</v>
      </c>
      <c r="B20" s="37">
        <v>815</v>
      </c>
      <c r="C20" s="37">
        <v>205</v>
      </c>
      <c r="D20" s="37">
        <v>1020</v>
      </c>
    </row>
    <row r="21" spans="1:4" x14ac:dyDescent="0.25">
      <c r="A21" s="36" t="s">
        <v>373</v>
      </c>
      <c r="B21" s="37">
        <v>906</v>
      </c>
      <c r="C21" s="37">
        <v>105</v>
      </c>
      <c r="D21" s="37">
        <v>1011</v>
      </c>
    </row>
    <row r="22" spans="1:4" x14ac:dyDescent="0.25">
      <c r="A22" s="36" t="s">
        <v>382</v>
      </c>
      <c r="B22" s="37">
        <v>713</v>
      </c>
      <c r="C22" s="37">
        <v>68</v>
      </c>
      <c r="D22" s="37">
        <v>781</v>
      </c>
    </row>
    <row r="23" spans="1:4" x14ac:dyDescent="0.25">
      <c r="A23" s="36" t="s">
        <v>183</v>
      </c>
      <c r="B23" s="37">
        <v>9464</v>
      </c>
      <c r="C23" s="37">
        <v>1435</v>
      </c>
      <c r="D23" s="37">
        <v>10899</v>
      </c>
    </row>
    <row r="24" spans="1:4" x14ac:dyDescent="0.25">
      <c r="A24" s="42" t="s">
        <v>235</v>
      </c>
      <c r="B24" s="43">
        <v>173167</v>
      </c>
      <c r="C24" s="43">
        <v>42622</v>
      </c>
      <c r="D24" s="43">
        <v>215789</v>
      </c>
    </row>
    <row r="25" spans="1:4" x14ac:dyDescent="0.25">
      <c r="A25" s="45"/>
      <c r="B25" s="33"/>
      <c r="C25" s="33"/>
      <c r="D25" s="33"/>
    </row>
    <row r="26" spans="1:4" x14ac:dyDescent="0.25">
      <c r="A26" s="33" t="s">
        <v>239</v>
      </c>
      <c r="B26" s="33"/>
      <c r="C26" s="33"/>
      <c r="D26" s="33"/>
    </row>
    <row r="27" spans="1:4" x14ac:dyDescent="0.25">
      <c r="A27" s="46" t="s">
        <v>212</v>
      </c>
      <c r="B27" s="33"/>
      <c r="C27" s="33"/>
      <c r="D27" s="33"/>
    </row>
    <row r="28" spans="1:4" x14ac:dyDescent="0.25">
      <c r="A28" s="33"/>
      <c r="B28" s="33"/>
      <c r="C28" s="33"/>
      <c r="D28" s="33"/>
    </row>
    <row r="29" spans="1:4" x14ac:dyDescent="0.25">
      <c r="A29" s="46" t="s">
        <v>70</v>
      </c>
      <c r="B29" s="33"/>
      <c r="C29" s="33"/>
      <c r="D29" s="33"/>
    </row>
    <row r="30" spans="1:4" x14ac:dyDescent="0.25">
      <c r="A30" s="33"/>
      <c r="B30" s="33"/>
      <c r="C30" s="33"/>
      <c r="D30" s="33"/>
    </row>
    <row r="31" spans="1:4" x14ac:dyDescent="0.25">
      <c r="A31" s="46" t="s">
        <v>240</v>
      </c>
      <c r="B31" s="33"/>
      <c r="C31" s="33"/>
      <c r="D31" s="33"/>
    </row>
  </sheetData>
  <mergeCells count="1">
    <mergeCell ref="A1:D1"/>
  </mergeCells>
  <hyperlinks>
    <hyperlink ref="A27" r:id="rId1" xr:uid="{00000000-0004-0000-0E00-000000000000}"/>
    <hyperlink ref="A29" location="'Technical specifications'!A1" display="Technical specifications" xr:uid="{00000000-0004-0000-0E00-000001000000}"/>
    <hyperlink ref="A31" location="Contents!A1" display="Back to contents" xr:uid="{00000000-0004-0000-0E00-000002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2"/>
  <sheetViews>
    <sheetView workbookViewId="0">
      <selection sqref="A1:E1"/>
    </sheetView>
  </sheetViews>
  <sheetFormatPr defaultRowHeight="15" x14ac:dyDescent="0.25"/>
  <cols>
    <col min="1" max="1" width="75" customWidth="1"/>
    <col min="2" max="2" width="28" customWidth="1"/>
    <col min="3" max="5" width="20" customWidth="1"/>
  </cols>
  <sheetData>
    <row r="1" spans="1:5" ht="33.75" customHeight="1" x14ac:dyDescent="0.25">
      <c r="A1" s="74" t="s">
        <v>15</v>
      </c>
      <c r="B1" s="75"/>
      <c r="C1" s="75"/>
      <c r="D1" s="75"/>
      <c r="E1" s="75"/>
    </row>
    <row r="2" spans="1:5" x14ac:dyDescent="0.25">
      <c r="A2" s="34" t="s">
        <v>383</v>
      </c>
      <c r="B2" s="34" t="s">
        <v>242</v>
      </c>
      <c r="C2" s="35" t="s">
        <v>224</v>
      </c>
      <c r="D2" s="35" t="s">
        <v>237</v>
      </c>
      <c r="E2" s="35" t="s">
        <v>238</v>
      </c>
    </row>
    <row r="3" spans="1:5" x14ac:dyDescent="0.25">
      <c r="A3" s="36" t="s">
        <v>384</v>
      </c>
      <c r="B3" s="36" t="s">
        <v>385</v>
      </c>
      <c r="C3" s="37">
        <v>23835</v>
      </c>
      <c r="D3" s="37">
        <v>1607</v>
      </c>
      <c r="E3" s="37">
        <v>25442</v>
      </c>
    </row>
    <row r="4" spans="1:5" x14ac:dyDescent="0.25">
      <c r="A4" s="36" t="s">
        <v>386</v>
      </c>
      <c r="B4" s="36" t="s">
        <v>385</v>
      </c>
      <c r="C4" s="37">
        <v>19992</v>
      </c>
      <c r="D4" s="37">
        <v>1984</v>
      </c>
      <c r="E4" s="37">
        <v>21976</v>
      </c>
    </row>
    <row r="5" spans="1:5" x14ac:dyDescent="0.25">
      <c r="A5" s="36" t="s">
        <v>387</v>
      </c>
      <c r="B5" s="36" t="s">
        <v>385</v>
      </c>
      <c r="C5" s="37">
        <v>17445</v>
      </c>
      <c r="D5" s="37">
        <v>3457</v>
      </c>
      <c r="E5" s="37">
        <v>20902</v>
      </c>
    </row>
    <row r="6" spans="1:5" x14ac:dyDescent="0.25">
      <c r="A6" s="36" t="s">
        <v>388</v>
      </c>
      <c r="B6" s="36" t="s">
        <v>385</v>
      </c>
      <c r="C6" s="37">
        <v>17754</v>
      </c>
      <c r="D6" s="37">
        <v>3001</v>
      </c>
      <c r="E6" s="37">
        <v>20755</v>
      </c>
    </row>
    <row r="7" spans="1:5" x14ac:dyDescent="0.25">
      <c r="A7" s="36" t="s">
        <v>389</v>
      </c>
      <c r="B7" s="36" t="s">
        <v>385</v>
      </c>
      <c r="C7" s="37">
        <v>8670</v>
      </c>
      <c r="D7" s="37">
        <v>1127</v>
      </c>
      <c r="E7" s="37">
        <v>9797</v>
      </c>
    </row>
    <row r="8" spans="1:5" x14ac:dyDescent="0.25">
      <c r="A8" s="36" t="s">
        <v>390</v>
      </c>
      <c r="B8" s="36" t="s">
        <v>385</v>
      </c>
      <c r="C8" s="37">
        <v>9076</v>
      </c>
      <c r="D8" s="37">
        <v>95</v>
      </c>
      <c r="E8" s="37">
        <v>9171</v>
      </c>
    </row>
    <row r="9" spans="1:5" x14ac:dyDescent="0.25">
      <c r="A9" s="36" t="s">
        <v>391</v>
      </c>
      <c r="B9" s="36" t="s">
        <v>385</v>
      </c>
      <c r="C9" s="37">
        <v>7500</v>
      </c>
      <c r="D9" s="37">
        <v>74</v>
      </c>
      <c r="E9" s="37">
        <v>7574</v>
      </c>
    </row>
    <row r="10" spans="1:5" x14ac:dyDescent="0.25">
      <c r="A10" s="36" t="s">
        <v>392</v>
      </c>
      <c r="B10" s="36" t="s">
        <v>385</v>
      </c>
      <c r="C10" s="37">
        <v>5557</v>
      </c>
      <c r="D10" s="37">
        <v>310</v>
      </c>
      <c r="E10" s="37">
        <v>5867</v>
      </c>
    </row>
    <row r="11" spans="1:5" x14ac:dyDescent="0.25">
      <c r="A11" s="36" t="s">
        <v>393</v>
      </c>
      <c r="B11" s="36" t="s">
        <v>385</v>
      </c>
      <c r="C11" s="37">
        <v>4622</v>
      </c>
      <c r="D11" s="37">
        <v>508</v>
      </c>
      <c r="E11" s="37">
        <v>5130</v>
      </c>
    </row>
    <row r="12" spans="1:5" x14ac:dyDescent="0.25">
      <c r="A12" s="36" t="s">
        <v>394</v>
      </c>
      <c r="B12" s="36" t="s">
        <v>385</v>
      </c>
      <c r="C12" s="37">
        <v>3669</v>
      </c>
      <c r="D12" s="37">
        <v>896</v>
      </c>
      <c r="E12" s="37">
        <v>4565</v>
      </c>
    </row>
    <row r="13" spans="1:5" x14ac:dyDescent="0.25">
      <c r="A13" s="36" t="s">
        <v>183</v>
      </c>
      <c r="B13" s="36" t="s">
        <v>385</v>
      </c>
      <c r="C13" s="37">
        <v>51472</v>
      </c>
      <c r="D13" s="37">
        <v>1841</v>
      </c>
      <c r="E13" s="37">
        <v>53313</v>
      </c>
    </row>
    <row r="14" spans="1:5" x14ac:dyDescent="0.25">
      <c r="A14" s="47" t="s">
        <v>235</v>
      </c>
      <c r="B14" s="47" t="s">
        <v>385</v>
      </c>
      <c r="C14" s="48">
        <v>169592</v>
      </c>
      <c r="D14" s="48">
        <v>14900</v>
      </c>
      <c r="E14" s="48">
        <v>184492</v>
      </c>
    </row>
    <row r="15" spans="1:5" x14ac:dyDescent="0.25">
      <c r="A15" s="52"/>
      <c r="B15" s="52" t="s">
        <v>395</v>
      </c>
      <c r="C15" s="53">
        <v>22929</v>
      </c>
      <c r="D15" s="53">
        <v>2939</v>
      </c>
      <c r="E15" s="53">
        <v>25868</v>
      </c>
    </row>
    <row r="16" spans="1:5" x14ac:dyDescent="0.25">
      <c r="A16" s="45"/>
      <c r="B16" s="33"/>
      <c r="C16" s="33"/>
      <c r="D16" s="33"/>
      <c r="E16" s="33"/>
    </row>
    <row r="17" spans="1:5" x14ac:dyDescent="0.25">
      <c r="A17" s="33" t="s">
        <v>239</v>
      </c>
      <c r="B17" s="33"/>
      <c r="C17" s="33"/>
      <c r="D17" s="33"/>
      <c r="E17" s="33"/>
    </row>
    <row r="18" spans="1:5" x14ac:dyDescent="0.25">
      <c r="A18" s="46" t="s">
        <v>212</v>
      </c>
      <c r="B18" s="33"/>
      <c r="C18" s="33"/>
      <c r="D18" s="33"/>
      <c r="E18" s="33"/>
    </row>
    <row r="19" spans="1:5" x14ac:dyDescent="0.25">
      <c r="A19" s="33"/>
      <c r="B19" s="33"/>
      <c r="C19" s="33"/>
      <c r="D19" s="33"/>
      <c r="E19" s="33"/>
    </row>
    <row r="20" spans="1:5" x14ac:dyDescent="0.25">
      <c r="A20" s="46" t="s">
        <v>70</v>
      </c>
      <c r="B20" s="33"/>
      <c r="C20" s="33"/>
      <c r="D20" s="33"/>
      <c r="E20" s="33"/>
    </row>
    <row r="21" spans="1:5" x14ac:dyDescent="0.25">
      <c r="A21" s="33"/>
      <c r="B21" s="33"/>
      <c r="C21" s="33"/>
      <c r="D21" s="33"/>
      <c r="E21" s="33"/>
    </row>
    <row r="22" spans="1:5" x14ac:dyDescent="0.25">
      <c r="A22" s="46" t="s">
        <v>240</v>
      </c>
      <c r="B22" s="33"/>
      <c r="C22" s="33"/>
      <c r="D22" s="33"/>
      <c r="E22" s="33"/>
    </row>
  </sheetData>
  <mergeCells count="1">
    <mergeCell ref="A1:E1"/>
  </mergeCells>
  <hyperlinks>
    <hyperlink ref="A18" r:id="rId1" xr:uid="{00000000-0004-0000-0F00-000000000000}"/>
    <hyperlink ref="A20" location="'Technical specifications'!A1" display="Technical specifications" xr:uid="{00000000-0004-0000-0F00-000001000000}"/>
    <hyperlink ref="A22" location="Contents!A1" display="Back to contents" xr:uid="{00000000-0004-0000-0F00-000002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2"/>
  <sheetViews>
    <sheetView workbookViewId="0">
      <selection sqref="A1:E1"/>
    </sheetView>
  </sheetViews>
  <sheetFormatPr defaultRowHeight="15" x14ac:dyDescent="0.25"/>
  <cols>
    <col min="1" max="1" width="80" customWidth="1"/>
    <col min="2" max="2" width="28" customWidth="1"/>
    <col min="3" max="5" width="20" customWidth="1"/>
  </cols>
  <sheetData>
    <row r="1" spans="1:5" ht="33.75" customHeight="1" x14ac:dyDescent="0.25">
      <c r="A1" s="74" t="s">
        <v>16</v>
      </c>
      <c r="B1" s="75"/>
      <c r="C1" s="75"/>
      <c r="D1" s="75"/>
      <c r="E1" s="75"/>
    </row>
    <row r="2" spans="1:5" x14ac:dyDescent="0.25">
      <c r="A2" s="34" t="s">
        <v>383</v>
      </c>
      <c r="B2" s="34" t="s">
        <v>242</v>
      </c>
      <c r="C2" s="35" t="s">
        <v>224</v>
      </c>
      <c r="D2" s="35" t="s">
        <v>237</v>
      </c>
      <c r="E2" s="35" t="s">
        <v>238</v>
      </c>
    </row>
    <row r="3" spans="1:5" x14ac:dyDescent="0.25">
      <c r="A3" s="36" t="s">
        <v>387</v>
      </c>
      <c r="B3" s="36" t="s">
        <v>385</v>
      </c>
      <c r="C3" s="37">
        <v>3436</v>
      </c>
      <c r="D3" s="37">
        <v>1930</v>
      </c>
      <c r="E3" s="37">
        <v>5366</v>
      </c>
    </row>
    <row r="4" spans="1:5" x14ac:dyDescent="0.25">
      <c r="A4" s="36" t="s">
        <v>396</v>
      </c>
      <c r="B4" s="36" t="s">
        <v>385</v>
      </c>
      <c r="C4" s="37">
        <v>5015</v>
      </c>
      <c r="D4" s="38" t="s">
        <v>352</v>
      </c>
      <c r="E4" s="37">
        <v>5015</v>
      </c>
    </row>
    <row r="5" spans="1:5" x14ac:dyDescent="0.25">
      <c r="A5" s="36" t="s">
        <v>392</v>
      </c>
      <c r="B5" s="36" t="s">
        <v>385</v>
      </c>
      <c r="C5" s="37">
        <v>3831</v>
      </c>
      <c r="D5" s="37">
        <v>716</v>
      </c>
      <c r="E5" s="37">
        <v>4547</v>
      </c>
    </row>
    <row r="6" spans="1:5" x14ac:dyDescent="0.25">
      <c r="A6" s="36" t="s">
        <v>391</v>
      </c>
      <c r="B6" s="36" t="s">
        <v>385</v>
      </c>
      <c r="C6" s="37">
        <v>2092</v>
      </c>
      <c r="D6" s="37">
        <v>15</v>
      </c>
      <c r="E6" s="37">
        <v>2107</v>
      </c>
    </row>
    <row r="7" spans="1:5" x14ac:dyDescent="0.25">
      <c r="A7" s="36" t="s">
        <v>384</v>
      </c>
      <c r="B7" s="36" t="s">
        <v>385</v>
      </c>
      <c r="C7" s="37">
        <v>1406</v>
      </c>
      <c r="D7" s="37">
        <v>218</v>
      </c>
      <c r="E7" s="37">
        <v>1624</v>
      </c>
    </row>
    <row r="8" spans="1:5" x14ac:dyDescent="0.25">
      <c r="A8" s="36" t="s">
        <v>389</v>
      </c>
      <c r="B8" s="36" t="s">
        <v>385</v>
      </c>
      <c r="C8" s="37">
        <v>1374</v>
      </c>
      <c r="D8" s="37">
        <v>139</v>
      </c>
      <c r="E8" s="37">
        <v>1513</v>
      </c>
    </row>
    <row r="9" spans="1:5" x14ac:dyDescent="0.25">
      <c r="A9" s="36" t="s">
        <v>386</v>
      </c>
      <c r="B9" s="36" t="s">
        <v>385</v>
      </c>
      <c r="C9" s="37">
        <v>1072</v>
      </c>
      <c r="D9" s="37">
        <v>167</v>
      </c>
      <c r="E9" s="37">
        <v>1239</v>
      </c>
    </row>
    <row r="10" spans="1:5" x14ac:dyDescent="0.25">
      <c r="A10" s="36" t="s">
        <v>397</v>
      </c>
      <c r="B10" s="36" t="s">
        <v>385</v>
      </c>
      <c r="C10" s="37">
        <v>251</v>
      </c>
      <c r="D10" s="37">
        <v>569</v>
      </c>
      <c r="E10" s="37">
        <v>820</v>
      </c>
    </row>
    <row r="11" spans="1:5" x14ac:dyDescent="0.25">
      <c r="A11" s="36" t="s">
        <v>398</v>
      </c>
      <c r="B11" s="36" t="s">
        <v>385</v>
      </c>
      <c r="C11" s="37">
        <v>310</v>
      </c>
      <c r="D11" s="37">
        <v>448</v>
      </c>
      <c r="E11" s="37">
        <v>758</v>
      </c>
    </row>
    <row r="12" spans="1:5" x14ac:dyDescent="0.25">
      <c r="A12" s="36" t="s">
        <v>399</v>
      </c>
      <c r="B12" s="36" t="s">
        <v>385</v>
      </c>
      <c r="C12" s="37">
        <v>6</v>
      </c>
      <c r="D12" s="37">
        <v>627</v>
      </c>
      <c r="E12" s="37">
        <v>633</v>
      </c>
    </row>
    <row r="13" spans="1:5" x14ac:dyDescent="0.25">
      <c r="A13" s="36" t="s">
        <v>183</v>
      </c>
      <c r="B13" s="36" t="s">
        <v>385</v>
      </c>
      <c r="C13" s="37">
        <v>3429</v>
      </c>
      <c r="D13" s="37">
        <v>849</v>
      </c>
      <c r="E13" s="37">
        <v>4278</v>
      </c>
    </row>
    <row r="14" spans="1:5" x14ac:dyDescent="0.25">
      <c r="A14" s="47" t="s">
        <v>235</v>
      </c>
      <c r="B14" s="47" t="s">
        <v>385</v>
      </c>
      <c r="C14" s="48">
        <v>22222</v>
      </c>
      <c r="D14" s="48">
        <v>5678</v>
      </c>
      <c r="E14" s="48">
        <v>27900</v>
      </c>
    </row>
    <row r="15" spans="1:5" x14ac:dyDescent="0.25">
      <c r="A15" s="52"/>
      <c r="B15" s="52" t="s">
        <v>395</v>
      </c>
      <c r="C15" s="53">
        <v>155301</v>
      </c>
      <c r="D15" s="53">
        <v>37544</v>
      </c>
      <c r="E15" s="53">
        <v>192845</v>
      </c>
    </row>
    <row r="16" spans="1:5" x14ac:dyDescent="0.25">
      <c r="A16" s="45"/>
      <c r="B16" s="33"/>
      <c r="C16" s="33"/>
      <c r="D16" s="33"/>
      <c r="E16" s="33"/>
    </row>
    <row r="17" spans="1:5" x14ac:dyDescent="0.25">
      <c r="A17" s="33" t="s">
        <v>239</v>
      </c>
      <c r="B17" s="33"/>
      <c r="C17" s="33"/>
      <c r="D17" s="33"/>
      <c r="E17" s="33"/>
    </row>
    <row r="18" spans="1:5" x14ac:dyDescent="0.25">
      <c r="A18" s="46" t="s">
        <v>212</v>
      </c>
      <c r="B18" s="33"/>
      <c r="C18" s="33"/>
      <c r="D18" s="33"/>
      <c r="E18" s="33"/>
    </row>
    <row r="19" spans="1:5" x14ac:dyDescent="0.25">
      <c r="A19" s="33"/>
      <c r="B19" s="33"/>
      <c r="C19" s="33"/>
      <c r="D19" s="33"/>
      <c r="E19" s="33"/>
    </row>
    <row r="20" spans="1:5" x14ac:dyDescent="0.25">
      <c r="A20" s="46" t="s">
        <v>70</v>
      </c>
      <c r="B20" s="33"/>
      <c r="C20" s="33"/>
      <c r="D20" s="33"/>
      <c r="E20" s="33"/>
    </row>
    <row r="21" spans="1:5" x14ac:dyDescent="0.25">
      <c r="A21" s="33"/>
      <c r="B21" s="33"/>
      <c r="C21" s="33"/>
      <c r="D21" s="33"/>
      <c r="E21" s="33"/>
    </row>
    <row r="22" spans="1:5" x14ac:dyDescent="0.25">
      <c r="A22" s="46" t="s">
        <v>240</v>
      </c>
      <c r="B22" s="33"/>
      <c r="C22" s="33"/>
      <c r="D22" s="33"/>
      <c r="E22" s="33"/>
    </row>
  </sheetData>
  <mergeCells count="1">
    <mergeCell ref="A1:E1"/>
  </mergeCells>
  <hyperlinks>
    <hyperlink ref="A18" r:id="rId1" xr:uid="{00000000-0004-0000-1000-000000000000}"/>
    <hyperlink ref="A20" location="'Technical specifications'!A1" display="Technical specifications" xr:uid="{00000000-0004-0000-1000-000001000000}"/>
    <hyperlink ref="A22" location="Contents!A1" display="Back to contents" xr:uid="{00000000-0004-0000-1000-000002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8"/>
  <sheetViews>
    <sheetView workbookViewId="0">
      <selection sqref="A1:D1"/>
    </sheetView>
  </sheetViews>
  <sheetFormatPr defaultRowHeight="15" x14ac:dyDescent="0.25"/>
  <cols>
    <col min="1" max="1" width="40" customWidth="1"/>
    <col min="2" max="4" width="20" customWidth="1"/>
  </cols>
  <sheetData>
    <row r="1" spans="1:4" ht="33.75" customHeight="1" x14ac:dyDescent="0.25">
      <c r="A1" s="74" t="s">
        <v>17</v>
      </c>
      <c r="B1" s="75"/>
      <c r="C1" s="75"/>
      <c r="D1" s="75"/>
    </row>
    <row r="2" spans="1:4" x14ac:dyDescent="0.25">
      <c r="A2" s="34" t="s">
        <v>400</v>
      </c>
      <c r="B2" s="35" t="s">
        <v>224</v>
      </c>
      <c r="C2" s="35" t="s">
        <v>237</v>
      </c>
      <c r="D2" s="35" t="s">
        <v>238</v>
      </c>
    </row>
    <row r="3" spans="1:4" x14ac:dyDescent="0.25">
      <c r="A3" s="36" t="s">
        <v>401</v>
      </c>
      <c r="B3" s="37">
        <v>232028</v>
      </c>
      <c r="C3" s="37">
        <v>51214</v>
      </c>
      <c r="D3" s="37">
        <v>283242</v>
      </c>
    </row>
    <row r="4" spans="1:4" x14ac:dyDescent="0.25">
      <c r="A4" s="36" t="s">
        <v>402</v>
      </c>
      <c r="B4" s="37">
        <v>10425</v>
      </c>
      <c r="C4" s="37">
        <v>702</v>
      </c>
      <c r="D4" s="37">
        <v>11127</v>
      </c>
    </row>
    <row r="5" spans="1:4" x14ac:dyDescent="0.25">
      <c r="A5" s="36" t="s">
        <v>403</v>
      </c>
      <c r="B5" s="37">
        <v>46</v>
      </c>
      <c r="C5" s="37">
        <v>750</v>
      </c>
      <c r="D5" s="37">
        <v>796</v>
      </c>
    </row>
    <row r="6" spans="1:4" x14ac:dyDescent="0.25">
      <c r="A6" s="36" t="s">
        <v>404</v>
      </c>
      <c r="B6" s="37" t="s">
        <v>608</v>
      </c>
      <c r="C6" s="37" t="s">
        <v>608</v>
      </c>
      <c r="D6" s="37">
        <v>198</v>
      </c>
    </row>
    <row r="7" spans="1:4" x14ac:dyDescent="0.25">
      <c r="A7" s="36" t="s">
        <v>405</v>
      </c>
      <c r="B7" s="37" t="s">
        <v>608</v>
      </c>
      <c r="C7" s="37" t="s">
        <v>608</v>
      </c>
      <c r="D7" s="37">
        <v>1201</v>
      </c>
    </row>
    <row r="8" spans="1:4" x14ac:dyDescent="0.25">
      <c r="A8" s="36" t="s">
        <v>406</v>
      </c>
      <c r="B8" s="37">
        <v>798</v>
      </c>
      <c r="C8" s="37">
        <v>24</v>
      </c>
      <c r="D8" s="37">
        <v>822</v>
      </c>
    </row>
    <row r="9" spans="1:4" x14ac:dyDescent="0.25">
      <c r="A9" s="42" t="s">
        <v>235</v>
      </c>
      <c r="B9" s="43">
        <v>244729</v>
      </c>
      <c r="C9" s="43">
        <v>52708</v>
      </c>
      <c r="D9" s="43">
        <v>297437</v>
      </c>
    </row>
    <row r="10" spans="1:4" ht="19.5" customHeight="1" x14ac:dyDescent="0.25">
      <c r="A10" s="76" t="s">
        <v>407</v>
      </c>
      <c r="B10" s="77"/>
      <c r="C10" s="77"/>
      <c r="D10" s="77"/>
    </row>
    <row r="11" spans="1:4" x14ac:dyDescent="0.25">
      <c r="A11" s="76" t="s">
        <v>408</v>
      </c>
      <c r="B11" s="77"/>
      <c r="C11" s="77"/>
      <c r="D11" s="77"/>
    </row>
    <row r="12" spans="1:4" x14ac:dyDescent="0.25">
      <c r="A12" s="45"/>
      <c r="B12" s="33"/>
      <c r="C12" s="33"/>
      <c r="D12" s="33"/>
    </row>
    <row r="13" spans="1:4" x14ac:dyDescent="0.25">
      <c r="A13" s="33" t="s">
        <v>239</v>
      </c>
      <c r="B13" s="33"/>
      <c r="C13" s="33"/>
      <c r="D13" s="33"/>
    </row>
    <row r="14" spans="1:4" x14ac:dyDescent="0.25">
      <c r="A14" s="46" t="s">
        <v>212</v>
      </c>
      <c r="B14" s="33"/>
      <c r="C14" s="33"/>
      <c r="D14" s="33"/>
    </row>
    <row r="15" spans="1:4" x14ac:dyDescent="0.25">
      <c r="A15" s="33"/>
      <c r="B15" s="33"/>
      <c r="C15" s="33"/>
      <c r="D15" s="33"/>
    </row>
    <row r="16" spans="1:4" x14ac:dyDescent="0.25">
      <c r="A16" s="46" t="s">
        <v>70</v>
      </c>
      <c r="B16" s="33"/>
      <c r="C16" s="33"/>
      <c r="D16" s="33"/>
    </row>
    <row r="17" spans="1:4" x14ac:dyDescent="0.25">
      <c r="A17" s="33"/>
      <c r="B17" s="33"/>
      <c r="C17" s="33"/>
      <c r="D17" s="33"/>
    </row>
    <row r="18" spans="1:4" x14ac:dyDescent="0.25">
      <c r="A18" s="46" t="s">
        <v>240</v>
      </c>
      <c r="B18" s="33"/>
      <c r="C18" s="33"/>
      <c r="D18" s="33"/>
    </row>
  </sheetData>
  <mergeCells count="3">
    <mergeCell ref="A1:D1"/>
    <mergeCell ref="A10:D10"/>
    <mergeCell ref="A11:D11"/>
  </mergeCells>
  <hyperlinks>
    <hyperlink ref="A14" r:id="rId1" xr:uid="{00000000-0004-0000-1100-000000000000}"/>
    <hyperlink ref="A16" location="'Technical specifications'!A1" display="Technical specifications" xr:uid="{00000000-0004-0000-1100-000001000000}"/>
    <hyperlink ref="A18" location="Contents!A1" display="Back to contents" xr:uid="{00000000-0004-0000-1100-000002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6"/>
  <sheetViews>
    <sheetView workbookViewId="0">
      <selection sqref="A1:D1"/>
    </sheetView>
  </sheetViews>
  <sheetFormatPr defaultRowHeight="15" x14ac:dyDescent="0.25"/>
  <cols>
    <col min="1" max="1" width="24" customWidth="1"/>
    <col min="2" max="4" width="20" customWidth="1"/>
  </cols>
  <sheetData>
    <row r="1" spans="1:4" ht="33.75" customHeight="1" x14ac:dyDescent="0.25">
      <c r="A1" s="74" t="s">
        <v>18</v>
      </c>
      <c r="B1" s="75"/>
      <c r="C1" s="75"/>
      <c r="D1" s="75"/>
    </row>
    <row r="2" spans="1:4" x14ac:dyDescent="0.25">
      <c r="A2" s="34" t="s">
        <v>409</v>
      </c>
      <c r="B2" s="35" t="s">
        <v>224</v>
      </c>
      <c r="C2" s="35" t="s">
        <v>237</v>
      </c>
      <c r="D2" s="35" t="s">
        <v>238</v>
      </c>
    </row>
    <row r="3" spans="1:4" x14ac:dyDescent="0.25">
      <c r="A3" s="36" t="s">
        <v>410</v>
      </c>
      <c r="B3" s="37">
        <v>236168</v>
      </c>
      <c r="C3" s="37">
        <v>470</v>
      </c>
      <c r="D3" s="37">
        <v>236638</v>
      </c>
    </row>
    <row r="4" spans="1:4" x14ac:dyDescent="0.25">
      <c r="A4" s="36" t="s">
        <v>411</v>
      </c>
      <c r="B4" s="37">
        <v>3201</v>
      </c>
      <c r="C4" s="37">
        <v>49061</v>
      </c>
      <c r="D4" s="37">
        <v>52262</v>
      </c>
    </row>
    <row r="5" spans="1:4" x14ac:dyDescent="0.25">
      <c r="A5" s="36" t="s">
        <v>412</v>
      </c>
      <c r="B5" s="37">
        <v>1052</v>
      </c>
      <c r="C5" s="37">
        <v>2107</v>
      </c>
      <c r="D5" s="37">
        <v>3159</v>
      </c>
    </row>
    <row r="6" spans="1:4" x14ac:dyDescent="0.25">
      <c r="A6" s="36" t="s">
        <v>183</v>
      </c>
      <c r="B6" s="37">
        <v>4308</v>
      </c>
      <c r="C6" s="37">
        <v>1070</v>
      </c>
      <c r="D6" s="37">
        <v>5378</v>
      </c>
    </row>
    <row r="7" spans="1:4" x14ac:dyDescent="0.25">
      <c r="A7" s="42" t="s">
        <v>235</v>
      </c>
      <c r="B7" s="43">
        <v>244729</v>
      </c>
      <c r="C7" s="43">
        <v>52708</v>
      </c>
      <c r="D7" s="43">
        <v>297437</v>
      </c>
    </row>
    <row r="8" spans="1:4" x14ac:dyDescent="0.25">
      <c r="A8" s="76" t="s">
        <v>413</v>
      </c>
      <c r="B8" s="77"/>
      <c r="C8" s="77"/>
      <c r="D8" s="77"/>
    </row>
    <row r="9" spans="1:4" x14ac:dyDescent="0.25">
      <c r="A9" s="76" t="s">
        <v>414</v>
      </c>
      <c r="B9" s="77"/>
      <c r="C9" s="77"/>
      <c r="D9" s="77"/>
    </row>
    <row r="10" spans="1:4" x14ac:dyDescent="0.25">
      <c r="A10" s="45"/>
      <c r="B10" s="33"/>
      <c r="C10" s="33"/>
      <c r="D10" s="33"/>
    </row>
    <row r="11" spans="1:4" x14ac:dyDescent="0.25">
      <c r="A11" s="33" t="s">
        <v>239</v>
      </c>
      <c r="B11" s="33"/>
      <c r="C11" s="33"/>
      <c r="D11" s="33"/>
    </row>
    <row r="12" spans="1:4" x14ac:dyDescent="0.25">
      <c r="A12" s="46" t="s">
        <v>212</v>
      </c>
      <c r="B12" s="33"/>
      <c r="C12" s="33"/>
      <c r="D12" s="33"/>
    </row>
    <row r="13" spans="1:4" x14ac:dyDescent="0.25">
      <c r="A13" s="33"/>
      <c r="B13" s="33"/>
      <c r="C13" s="33"/>
      <c r="D13" s="33"/>
    </row>
    <row r="14" spans="1:4" x14ac:dyDescent="0.25">
      <c r="A14" s="46" t="s">
        <v>70</v>
      </c>
      <c r="B14" s="33"/>
      <c r="C14" s="33"/>
      <c r="D14" s="33"/>
    </row>
    <row r="15" spans="1:4" x14ac:dyDescent="0.25">
      <c r="A15" s="33"/>
      <c r="B15" s="33"/>
      <c r="C15" s="33"/>
      <c r="D15" s="33"/>
    </row>
    <row r="16" spans="1:4" x14ac:dyDescent="0.25">
      <c r="A16" s="46" t="s">
        <v>240</v>
      </c>
      <c r="B16" s="33"/>
      <c r="C16" s="33"/>
      <c r="D16" s="33"/>
    </row>
  </sheetData>
  <mergeCells count="3">
    <mergeCell ref="A1:D1"/>
    <mergeCell ref="A9:D9"/>
    <mergeCell ref="A8:D8"/>
  </mergeCells>
  <hyperlinks>
    <hyperlink ref="A12" r:id="rId1" xr:uid="{00000000-0004-0000-1200-000000000000}"/>
    <hyperlink ref="A14" location="'Technical specifications'!A1" display="Technical specifications" xr:uid="{00000000-0004-0000-1200-000001000000}"/>
    <hyperlink ref="A16" location="Contents!A1" display="Back to contents" xr:uid="{00000000-0004-0000-1200-000002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31"/>
  <sheetViews>
    <sheetView workbookViewId="0">
      <selection sqref="A1:D1"/>
    </sheetView>
  </sheetViews>
  <sheetFormatPr defaultRowHeight="15" x14ac:dyDescent="0.25"/>
  <cols>
    <col min="1" max="1" width="17" customWidth="1"/>
    <col min="2" max="4" width="12" customWidth="1"/>
  </cols>
  <sheetData>
    <row r="1" spans="1:4" ht="33.75" customHeight="1" x14ac:dyDescent="0.25">
      <c r="A1" s="74" t="s">
        <v>19</v>
      </c>
      <c r="B1" s="75"/>
      <c r="C1" s="75"/>
      <c r="D1" s="75"/>
    </row>
    <row r="2" spans="1:4" x14ac:dyDescent="0.25">
      <c r="A2" s="34" t="s">
        <v>415</v>
      </c>
      <c r="B2" s="35" t="s">
        <v>416</v>
      </c>
      <c r="C2" s="35" t="s">
        <v>417</v>
      </c>
      <c r="D2" s="35" t="s">
        <v>418</v>
      </c>
    </row>
    <row r="3" spans="1:4" x14ac:dyDescent="0.25">
      <c r="A3" s="36" t="s">
        <v>419</v>
      </c>
      <c r="B3" s="37">
        <v>157</v>
      </c>
      <c r="C3" s="37">
        <v>132</v>
      </c>
      <c r="D3" s="37">
        <v>289</v>
      </c>
    </row>
    <row r="4" spans="1:4" x14ac:dyDescent="0.25">
      <c r="A4" s="36" t="s">
        <v>420</v>
      </c>
      <c r="B4" s="37">
        <v>258</v>
      </c>
      <c r="C4" s="37">
        <v>167</v>
      </c>
      <c r="D4" s="37">
        <v>425</v>
      </c>
    </row>
    <row r="5" spans="1:4" x14ac:dyDescent="0.25">
      <c r="A5" s="36" t="s">
        <v>421</v>
      </c>
      <c r="B5" s="37">
        <v>315</v>
      </c>
      <c r="C5" s="37">
        <v>449</v>
      </c>
      <c r="D5" s="37">
        <v>764</v>
      </c>
    </row>
    <row r="6" spans="1:4" x14ac:dyDescent="0.25">
      <c r="A6" s="36" t="s">
        <v>422</v>
      </c>
      <c r="B6" s="37">
        <v>978</v>
      </c>
      <c r="C6" s="37">
        <v>769</v>
      </c>
      <c r="D6" s="37">
        <v>1758</v>
      </c>
    </row>
    <row r="7" spans="1:4" x14ac:dyDescent="0.25">
      <c r="A7" s="36" t="s">
        <v>423</v>
      </c>
      <c r="B7" s="37">
        <v>942</v>
      </c>
      <c r="C7" s="37">
        <v>1109</v>
      </c>
      <c r="D7" s="37">
        <v>2055</v>
      </c>
    </row>
    <row r="8" spans="1:4" x14ac:dyDescent="0.25">
      <c r="A8" s="36" t="s">
        <v>424</v>
      </c>
      <c r="B8" s="37">
        <v>1095</v>
      </c>
      <c r="C8" s="37">
        <v>1366</v>
      </c>
      <c r="D8" s="37">
        <v>2461</v>
      </c>
    </row>
    <row r="9" spans="1:4" x14ac:dyDescent="0.25">
      <c r="A9" s="36" t="s">
        <v>425</v>
      </c>
      <c r="B9" s="37">
        <v>1384</v>
      </c>
      <c r="C9" s="37">
        <v>1309</v>
      </c>
      <c r="D9" s="37">
        <v>2693</v>
      </c>
    </row>
    <row r="10" spans="1:4" x14ac:dyDescent="0.25">
      <c r="A10" s="36" t="s">
        <v>426</v>
      </c>
      <c r="B10" s="37">
        <v>2176</v>
      </c>
      <c r="C10" s="37">
        <v>2065</v>
      </c>
      <c r="D10" s="37">
        <v>4241</v>
      </c>
    </row>
    <row r="11" spans="1:4" x14ac:dyDescent="0.25">
      <c r="A11" s="36" t="s">
        <v>427</v>
      </c>
      <c r="B11" s="37">
        <v>2516</v>
      </c>
      <c r="C11" s="37">
        <v>3302</v>
      </c>
      <c r="D11" s="37">
        <v>5819</v>
      </c>
    </row>
    <row r="12" spans="1:4" x14ac:dyDescent="0.25">
      <c r="A12" s="36" t="s">
        <v>428</v>
      </c>
      <c r="B12" s="37">
        <v>4292</v>
      </c>
      <c r="C12" s="37">
        <v>4978</v>
      </c>
      <c r="D12" s="37">
        <v>9270</v>
      </c>
    </row>
    <row r="13" spans="1:4" x14ac:dyDescent="0.25">
      <c r="A13" s="36" t="s">
        <v>429</v>
      </c>
      <c r="B13" s="37">
        <v>8415</v>
      </c>
      <c r="C13" s="37">
        <v>9201</v>
      </c>
      <c r="D13" s="37">
        <v>17617</v>
      </c>
    </row>
    <row r="14" spans="1:4" x14ac:dyDescent="0.25">
      <c r="A14" s="36" t="s">
        <v>430</v>
      </c>
      <c r="B14" s="37">
        <v>12702</v>
      </c>
      <c r="C14" s="37">
        <v>14430</v>
      </c>
      <c r="D14" s="37">
        <v>27155</v>
      </c>
    </row>
    <row r="15" spans="1:4" x14ac:dyDescent="0.25">
      <c r="A15" s="36" t="s">
        <v>431</v>
      </c>
      <c r="B15" s="37">
        <v>21656</v>
      </c>
      <c r="C15" s="37">
        <v>25451</v>
      </c>
      <c r="D15" s="37">
        <v>47107</v>
      </c>
    </row>
    <row r="16" spans="1:4" x14ac:dyDescent="0.25">
      <c r="A16" s="36" t="s">
        <v>432</v>
      </c>
      <c r="B16" s="37">
        <v>29271</v>
      </c>
      <c r="C16" s="37">
        <v>35736</v>
      </c>
      <c r="D16" s="37">
        <v>65009</v>
      </c>
    </row>
    <row r="17" spans="1:4" x14ac:dyDescent="0.25">
      <c r="A17" s="36" t="s">
        <v>433</v>
      </c>
      <c r="B17" s="37">
        <v>35265</v>
      </c>
      <c r="C17" s="37">
        <v>47914</v>
      </c>
      <c r="D17" s="37">
        <v>83193</v>
      </c>
    </row>
    <row r="18" spans="1:4" x14ac:dyDescent="0.25">
      <c r="A18" s="36" t="s">
        <v>434</v>
      </c>
      <c r="B18" s="37">
        <v>41096</v>
      </c>
      <c r="C18" s="37">
        <v>54725</v>
      </c>
      <c r="D18" s="37">
        <v>95823</v>
      </c>
    </row>
    <row r="19" spans="1:4" x14ac:dyDescent="0.25">
      <c r="A19" s="36" t="s">
        <v>435</v>
      </c>
      <c r="B19" s="37">
        <v>29777</v>
      </c>
      <c r="C19" s="37">
        <v>38954</v>
      </c>
      <c r="D19" s="37">
        <v>68737</v>
      </c>
    </row>
    <row r="20" spans="1:4" x14ac:dyDescent="0.25">
      <c r="A20" s="36" t="s">
        <v>436</v>
      </c>
      <c r="B20" s="37">
        <v>17332</v>
      </c>
      <c r="C20" s="37">
        <v>24292</v>
      </c>
      <c r="D20" s="37">
        <v>41625</v>
      </c>
    </row>
    <row r="21" spans="1:4" x14ac:dyDescent="0.25">
      <c r="A21" s="36" t="s">
        <v>437</v>
      </c>
      <c r="B21" s="37">
        <v>6302</v>
      </c>
      <c r="C21" s="37">
        <v>9861</v>
      </c>
      <c r="D21" s="37">
        <v>16163</v>
      </c>
    </row>
    <row r="22" spans="1:4" x14ac:dyDescent="0.25">
      <c r="A22" s="36" t="s">
        <v>438</v>
      </c>
      <c r="B22" s="37">
        <v>1492</v>
      </c>
      <c r="C22" s="37">
        <v>2684</v>
      </c>
      <c r="D22" s="37">
        <v>4176</v>
      </c>
    </row>
    <row r="23" spans="1:4" x14ac:dyDescent="0.25">
      <c r="A23" s="42" t="s">
        <v>235</v>
      </c>
      <c r="B23" s="43">
        <v>217421</v>
      </c>
      <c r="C23" s="43">
        <v>278894</v>
      </c>
      <c r="D23" s="43">
        <v>496381</v>
      </c>
    </row>
    <row r="24" spans="1:4" ht="20.25" customHeight="1" x14ac:dyDescent="0.25">
      <c r="A24" s="76" t="s">
        <v>439</v>
      </c>
      <c r="B24" s="77"/>
      <c r="C24" s="77"/>
      <c r="D24" s="77"/>
    </row>
    <row r="25" spans="1:4" x14ac:dyDescent="0.25">
      <c r="A25" s="45"/>
      <c r="B25" s="33"/>
      <c r="C25" s="33"/>
      <c r="D25" s="33"/>
    </row>
    <row r="26" spans="1:4" x14ac:dyDescent="0.25">
      <c r="A26" s="33" t="s">
        <v>239</v>
      </c>
      <c r="B26" s="33"/>
      <c r="C26" s="33"/>
      <c r="D26" s="33"/>
    </row>
    <row r="27" spans="1:4" x14ac:dyDescent="0.25">
      <c r="A27" s="46" t="s">
        <v>212</v>
      </c>
      <c r="B27" s="33"/>
      <c r="C27" s="33"/>
      <c r="D27" s="33"/>
    </row>
    <row r="28" spans="1:4" x14ac:dyDescent="0.25">
      <c r="A28" s="33"/>
      <c r="B28" s="33"/>
      <c r="C28" s="33"/>
      <c r="D28" s="33"/>
    </row>
    <row r="29" spans="1:4" x14ac:dyDescent="0.25">
      <c r="A29" s="46" t="s">
        <v>70</v>
      </c>
      <c r="B29" s="33"/>
      <c r="C29" s="33"/>
      <c r="D29" s="33"/>
    </row>
    <row r="30" spans="1:4" x14ac:dyDescent="0.25">
      <c r="A30" s="33"/>
      <c r="B30" s="33"/>
      <c r="C30" s="33"/>
      <c r="D30" s="33"/>
    </row>
    <row r="31" spans="1:4" x14ac:dyDescent="0.25">
      <c r="A31" s="46" t="s">
        <v>240</v>
      </c>
      <c r="B31" s="33"/>
      <c r="C31" s="33"/>
      <c r="D31" s="33"/>
    </row>
  </sheetData>
  <mergeCells count="2">
    <mergeCell ref="A1:D1"/>
    <mergeCell ref="A24:D24"/>
  </mergeCells>
  <hyperlinks>
    <hyperlink ref="A27" r:id="rId1" xr:uid="{00000000-0004-0000-1300-000000000000}"/>
    <hyperlink ref="A29" location="'Technical specifications'!A1" display="Technical specifications" xr:uid="{00000000-0004-0000-1300-000001000000}"/>
    <hyperlink ref="A31" location="Contents!A1" display="Back to contents" xr:uid="{00000000-0004-0000-1300-000002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1"/>
  <sheetViews>
    <sheetView workbookViewId="0">
      <selection sqref="A1:K1"/>
    </sheetView>
  </sheetViews>
  <sheetFormatPr defaultRowHeight="15" x14ac:dyDescent="0.25"/>
  <cols>
    <col min="1" max="2" width="30" customWidth="1"/>
    <col min="3" max="11" width="8.42578125" customWidth="1"/>
  </cols>
  <sheetData>
    <row r="1" spans="1:11" ht="33.75" customHeight="1" x14ac:dyDescent="0.25">
      <c r="A1" s="74" t="s">
        <v>20</v>
      </c>
      <c r="B1" s="75"/>
      <c r="C1" s="75"/>
      <c r="D1" s="75"/>
      <c r="E1" s="75"/>
      <c r="F1" s="75"/>
      <c r="G1" s="75"/>
      <c r="H1" s="75"/>
      <c r="I1" s="75"/>
      <c r="J1" s="75"/>
      <c r="K1" s="75"/>
    </row>
    <row r="2" spans="1:11" x14ac:dyDescent="0.25">
      <c r="A2" s="34" t="s">
        <v>347</v>
      </c>
      <c r="B2" s="34" t="s">
        <v>242</v>
      </c>
      <c r="C2" s="35" t="s">
        <v>338</v>
      </c>
      <c r="D2" s="35" t="s">
        <v>339</v>
      </c>
      <c r="E2" s="35" t="s">
        <v>340</v>
      </c>
      <c r="F2" s="35" t="s">
        <v>341</v>
      </c>
      <c r="G2" s="35" t="s">
        <v>342</v>
      </c>
      <c r="H2" s="35" t="s">
        <v>343</v>
      </c>
      <c r="I2" s="35" t="s">
        <v>344</v>
      </c>
      <c r="J2" s="35" t="s">
        <v>345</v>
      </c>
      <c r="K2" s="35" t="s">
        <v>235</v>
      </c>
    </row>
    <row r="3" spans="1:11" x14ac:dyDescent="0.25">
      <c r="A3" s="36" t="s">
        <v>348</v>
      </c>
      <c r="B3" s="36" t="s">
        <v>349</v>
      </c>
      <c r="C3" s="37">
        <v>2811</v>
      </c>
      <c r="D3" s="37">
        <v>291</v>
      </c>
      <c r="E3" s="37">
        <v>1871</v>
      </c>
      <c r="F3" s="37">
        <v>340</v>
      </c>
      <c r="G3" s="37">
        <v>205</v>
      </c>
      <c r="H3" s="37">
        <v>46</v>
      </c>
      <c r="I3" s="37">
        <v>26</v>
      </c>
      <c r="J3" s="37">
        <v>206</v>
      </c>
      <c r="K3" s="37">
        <v>5796</v>
      </c>
    </row>
    <row r="4" spans="1:11" x14ac:dyDescent="0.25">
      <c r="A4" s="36" t="s">
        <v>350</v>
      </c>
      <c r="B4" s="36" t="s">
        <v>349</v>
      </c>
      <c r="C4" s="37">
        <v>290488</v>
      </c>
      <c r="D4" s="37">
        <v>36344</v>
      </c>
      <c r="E4" s="37">
        <v>104487</v>
      </c>
      <c r="F4" s="37">
        <v>11139</v>
      </c>
      <c r="G4" s="37">
        <v>20517</v>
      </c>
      <c r="H4" s="37">
        <v>1739</v>
      </c>
      <c r="I4" s="37">
        <v>1717</v>
      </c>
      <c r="J4" s="37">
        <v>975</v>
      </c>
      <c r="K4" s="37">
        <v>467406</v>
      </c>
    </row>
    <row r="5" spans="1:11" x14ac:dyDescent="0.25">
      <c r="A5" s="36" t="s">
        <v>351</v>
      </c>
      <c r="B5" s="36" t="s">
        <v>349</v>
      </c>
      <c r="C5" s="37">
        <v>17151</v>
      </c>
      <c r="D5" s="37">
        <v>561</v>
      </c>
      <c r="E5" s="37">
        <v>4749</v>
      </c>
      <c r="F5" s="38" t="s">
        <v>352</v>
      </c>
      <c r="G5" s="37">
        <v>566</v>
      </c>
      <c r="H5" s="37">
        <v>41</v>
      </c>
      <c r="I5" s="37">
        <v>61</v>
      </c>
      <c r="J5" s="37">
        <v>50</v>
      </c>
      <c r="K5" s="37">
        <v>23179</v>
      </c>
    </row>
    <row r="6" spans="1:11" x14ac:dyDescent="0.25">
      <c r="A6" s="36" t="s">
        <v>235</v>
      </c>
      <c r="B6" s="36" t="s">
        <v>349</v>
      </c>
      <c r="C6" s="37">
        <v>310450</v>
      </c>
      <c r="D6" s="37">
        <v>37196</v>
      </c>
      <c r="E6" s="37">
        <v>111107</v>
      </c>
      <c r="F6" s="37">
        <v>11479</v>
      </c>
      <c r="G6" s="37">
        <v>21288</v>
      </c>
      <c r="H6" s="37">
        <v>1826</v>
      </c>
      <c r="I6" s="37">
        <v>1804</v>
      </c>
      <c r="J6" s="37">
        <v>1231</v>
      </c>
      <c r="K6" s="37">
        <v>496381</v>
      </c>
    </row>
    <row r="7" spans="1:11" x14ac:dyDescent="0.25">
      <c r="A7" s="36" t="s">
        <v>348</v>
      </c>
      <c r="B7" s="36" t="s">
        <v>353</v>
      </c>
      <c r="C7" s="38">
        <v>14.053277687</v>
      </c>
      <c r="D7" s="38">
        <v>6.2372425758999999</v>
      </c>
      <c r="E7" s="38">
        <v>10.768612943000001</v>
      </c>
      <c r="F7" s="38">
        <v>4.9606322070999997</v>
      </c>
      <c r="G7" s="38">
        <v>7.2335204451999999</v>
      </c>
      <c r="H7" s="38">
        <v>2.2747164728999998</v>
      </c>
      <c r="I7" s="38">
        <v>6.2577449774999998</v>
      </c>
      <c r="J7" s="38">
        <v>4.3198233260999999</v>
      </c>
      <c r="K7" s="38">
        <v>9.9092137998999998</v>
      </c>
    </row>
    <row r="8" spans="1:11" x14ac:dyDescent="0.25">
      <c r="A8" s="36" t="s">
        <v>354</v>
      </c>
      <c r="B8" s="36" t="s">
        <v>353</v>
      </c>
      <c r="C8" s="38">
        <v>35.755154884</v>
      </c>
      <c r="D8" s="38">
        <v>5.4711646051000002</v>
      </c>
      <c r="E8" s="38">
        <v>19.706534533999999</v>
      </c>
      <c r="F8" s="38">
        <v>4.0057138450999998</v>
      </c>
      <c r="G8" s="38">
        <v>9.8930535135</v>
      </c>
      <c r="H8" s="38">
        <v>3.2999151308000001</v>
      </c>
      <c r="I8" s="38">
        <v>5.7795275619000002</v>
      </c>
      <c r="J8" s="38">
        <v>6.8108472526000003</v>
      </c>
      <c r="K8" s="38">
        <v>18.057647549999999</v>
      </c>
    </row>
    <row r="9" spans="1:11" x14ac:dyDescent="0.25">
      <c r="A9" s="39" t="s">
        <v>355</v>
      </c>
      <c r="B9" s="39" t="s">
        <v>353</v>
      </c>
      <c r="C9" s="41">
        <v>28.251642491999998</v>
      </c>
      <c r="D9" s="41">
        <v>4.3573269871000004</v>
      </c>
      <c r="E9" s="41">
        <v>16.257634319000001</v>
      </c>
      <c r="F9" s="41">
        <v>3.1989409151000001</v>
      </c>
      <c r="G9" s="41">
        <v>7.9640482834000004</v>
      </c>
      <c r="H9" s="41">
        <v>3.2756313171000002</v>
      </c>
      <c r="I9" s="41">
        <v>5.7890490289000001</v>
      </c>
      <c r="J9" s="41">
        <v>5.7455928436999999</v>
      </c>
      <c r="K9" s="41">
        <v>14.483213212000001</v>
      </c>
    </row>
    <row r="10" spans="1:11" x14ac:dyDescent="0.25">
      <c r="A10" s="36" t="s">
        <v>348</v>
      </c>
      <c r="B10" s="36" t="s">
        <v>356</v>
      </c>
      <c r="C10" s="38">
        <v>1.9379390697000001</v>
      </c>
      <c r="D10" s="38">
        <v>0.57695739239999999</v>
      </c>
      <c r="E10" s="38">
        <v>0.88265541999999997</v>
      </c>
      <c r="F10" s="38">
        <v>0.28699733259999999</v>
      </c>
      <c r="G10" s="38">
        <v>0.49682516599999998</v>
      </c>
      <c r="H10" s="38">
        <v>0.29595316220000001</v>
      </c>
      <c r="I10" s="38">
        <v>0.42262678799999998</v>
      </c>
      <c r="J10" s="38">
        <v>0.1624208593</v>
      </c>
      <c r="K10" s="38">
        <v>0.80981615659999995</v>
      </c>
    </row>
    <row r="11" spans="1:11" x14ac:dyDescent="0.25">
      <c r="A11" s="36" t="s">
        <v>350</v>
      </c>
      <c r="B11" s="36" t="s">
        <v>356</v>
      </c>
      <c r="C11" s="38">
        <v>8.8482162112000005</v>
      </c>
      <c r="D11" s="38">
        <v>1.1480093043999999</v>
      </c>
      <c r="E11" s="38">
        <v>3.6741350554999999</v>
      </c>
      <c r="F11" s="38">
        <v>0.95381788320000005</v>
      </c>
      <c r="G11" s="38">
        <v>2.5218109544999998</v>
      </c>
      <c r="H11" s="38">
        <v>0.66314818060000003</v>
      </c>
      <c r="I11" s="38">
        <v>1.1517924225</v>
      </c>
      <c r="J11" s="38">
        <v>1.4558540263999999</v>
      </c>
      <c r="K11" s="38">
        <v>3.9771161343000001</v>
      </c>
    </row>
    <row r="12" spans="1:11" x14ac:dyDescent="0.25">
      <c r="A12" s="36" t="s">
        <v>351</v>
      </c>
      <c r="B12" s="36" t="s">
        <v>356</v>
      </c>
      <c r="C12" s="38">
        <v>16.412597250000001</v>
      </c>
      <c r="D12" s="38">
        <v>1.1054187192</v>
      </c>
      <c r="E12" s="38">
        <v>4.7993451303999999</v>
      </c>
      <c r="F12" s="38"/>
      <c r="G12" s="38">
        <v>1.4865787677</v>
      </c>
      <c r="H12" s="38">
        <v>0.36190308059999998</v>
      </c>
      <c r="I12" s="38">
        <v>1.4596793491</v>
      </c>
      <c r="J12" s="38">
        <v>6.1050061050000002</v>
      </c>
      <c r="K12" s="38">
        <v>7.5109931594999999</v>
      </c>
    </row>
    <row r="13" spans="1:11" x14ac:dyDescent="0.25">
      <c r="A13" s="52" t="s">
        <v>235</v>
      </c>
      <c r="B13" s="52" t="s">
        <v>356</v>
      </c>
      <c r="C13" s="54">
        <v>8.7882392438999997</v>
      </c>
      <c r="D13" s="54">
        <v>1.1385316566000001</v>
      </c>
      <c r="E13" s="54">
        <v>3.5218642959999999</v>
      </c>
      <c r="F13" s="54">
        <v>0.89240387750000005</v>
      </c>
      <c r="G13" s="54">
        <v>2.3840935002000001</v>
      </c>
      <c r="H13" s="54">
        <v>0.63160224970000001</v>
      </c>
      <c r="I13" s="54">
        <v>1.1317227405000001</v>
      </c>
      <c r="J13" s="54">
        <v>0.6325113939</v>
      </c>
      <c r="K13" s="54">
        <v>3.8850473487000001</v>
      </c>
    </row>
    <row r="14" spans="1:11" x14ac:dyDescent="0.25">
      <c r="A14" s="76" t="s">
        <v>440</v>
      </c>
      <c r="B14" s="77"/>
      <c r="C14" s="77"/>
      <c r="D14" s="77"/>
      <c r="E14" s="77"/>
      <c r="F14" s="77"/>
      <c r="G14" s="77"/>
      <c r="H14" s="77"/>
      <c r="I14" s="77"/>
      <c r="J14" s="77"/>
      <c r="K14" s="77"/>
    </row>
    <row r="15" spans="1:11" x14ac:dyDescent="0.25">
      <c r="A15" s="45"/>
      <c r="B15" s="33"/>
      <c r="C15" s="33"/>
      <c r="D15" s="33"/>
      <c r="E15" s="33"/>
      <c r="F15" s="33"/>
      <c r="G15" s="33"/>
      <c r="H15" s="33"/>
      <c r="I15" s="33"/>
      <c r="J15" s="33"/>
      <c r="K15" s="33"/>
    </row>
    <row r="16" spans="1:11" x14ac:dyDescent="0.25">
      <c r="A16" s="33" t="s">
        <v>239</v>
      </c>
      <c r="B16" s="33"/>
      <c r="C16" s="33"/>
      <c r="D16" s="33"/>
      <c r="E16" s="33"/>
      <c r="F16" s="33"/>
      <c r="G16" s="33"/>
      <c r="H16" s="33"/>
      <c r="I16" s="33"/>
      <c r="J16" s="33"/>
      <c r="K16" s="33"/>
    </row>
    <row r="17" spans="1:11" x14ac:dyDescent="0.25">
      <c r="A17" s="46" t="s">
        <v>212</v>
      </c>
      <c r="B17" s="33"/>
      <c r="C17" s="33"/>
      <c r="D17" s="33"/>
      <c r="E17" s="33"/>
      <c r="F17" s="33"/>
      <c r="G17" s="33"/>
      <c r="H17" s="33"/>
      <c r="I17" s="33"/>
      <c r="J17" s="33"/>
      <c r="K17" s="33"/>
    </row>
    <row r="18" spans="1:11" x14ac:dyDescent="0.25">
      <c r="A18" s="33"/>
      <c r="B18" s="33"/>
      <c r="C18" s="33"/>
      <c r="D18" s="33"/>
      <c r="E18" s="33"/>
      <c r="F18" s="33"/>
      <c r="G18" s="33"/>
      <c r="H18" s="33"/>
      <c r="I18" s="33"/>
      <c r="J18" s="33"/>
      <c r="K18" s="33"/>
    </row>
    <row r="19" spans="1:11" x14ac:dyDescent="0.25">
      <c r="A19" s="46" t="s">
        <v>70</v>
      </c>
      <c r="B19" s="33"/>
      <c r="C19" s="33"/>
      <c r="D19" s="33"/>
      <c r="E19" s="33"/>
      <c r="F19" s="33"/>
      <c r="G19" s="33"/>
      <c r="H19" s="33"/>
      <c r="I19" s="33"/>
      <c r="J19" s="33"/>
      <c r="K19" s="33"/>
    </row>
    <row r="20" spans="1:11" x14ac:dyDescent="0.25">
      <c r="A20" s="33"/>
      <c r="B20" s="33"/>
      <c r="C20" s="33"/>
      <c r="D20" s="33"/>
      <c r="E20" s="33"/>
      <c r="F20" s="33"/>
      <c r="G20" s="33"/>
      <c r="H20" s="33"/>
      <c r="I20" s="33"/>
      <c r="J20" s="33"/>
      <c r="K20" s="33"/>
    </row>
    <row r="21" spans="1:11" x14ac:dyDescent="0.25">
      <c r="A21" s="46" t="s">
        <v>240</v>
      </c>
      <c r="B21" s="33"/>
      <c r="C21" s="33"/>
      <c r="D21" s="33"/>
      <c r="E21" s="33"/>
      <c r="F21" s="33"/>
      <c r="G21" s="33"/>
      <c r="H21" s="33"/>
      <c r="I21" s="33"/>
      <c r="J21" s="33"/>
      <c r="K21" s="33"/>
    </row>
  </sheetData>
  <mergeCells count="2">
    <mergeCell ref="A14:K14"/>
    <mergeCell ref="A1:K1"/>
  </mergeCells>
  <hyperlinks>
    <hyperlink ref="A17" r:id="rId1" xr:uid="{00000000-0004-0000-1400-000000000000}"/>
    <hyperlink ref="A19" location="'Technical specifications'!A1" display="Technical specifications" xr:uid="{00000000-0004-0000-1400-000001000000}"/>
    <hyperlink ref="A21" location="Contents!A1" display="Back to contents" xr:uid="{00000000-0004-0000-1400-000002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5"/>
  <sheetViews>
    <sheetView workbookViewId="0">
      <selection sqref="A1:H1"/>
    </sheetView>
  </sheetViews>
  <sheetFormatPr defaultRowHeight="15" x14ac:dyDescent="0.25"/>
  <cols>
    <col min="1" max="1" width="17" customWidth="1"/>
    <col min="2" max="2" width="32" customWidth="1"/>
    <col min="3" max="8" width="16.5703125" customWidth="1"/>
  </cols>
  <sheetData>
    <row r="1" spans="1:8" ht="33.75" customHeight="1" x14ac:dyDescent="0.25">
      <c r="A1" s="74" t="s">
        <v>21</v>
      </c>
      <c r="B1" s="75"/>
      <c r="C1" s="75"/>
      <c r="D1" s="75"/>
      <c r="E1" s="75"/>
      <c r="F1" s="75"/>
      <c r="G1" s="75"/>
      <c r="H1" s="75"/>
    </row>
    <row r="2" spans="1:8" x14ac:dyDescent="0.25">
      <c r="A2" s="34" t="s">
        <v>214</v>
      </c>
      <c r="B2" s="34" t="s">
        <v>242</v>
      </c>
      <c r="C2" s="35" t="s">
        <v>441</v>
      </c>
      <c r="D2" s="35" t="s">
        <v>442</v>
      </c>
      <c r="E2" s="35" t="s">
        <v>443</v>
      </c>
      <c r="F2" s="35" t="s">
        <v>444</v>
      </c>
      <c r="G2" s="35" t="s">
        <v>445</v>
      </c>
      <c r="H2" s="35" t="s">
        <v>235</v>
      </c>
    </row>
    <row r="3" spans="1:8" x14ac:dyDescent="0.25">
      <c r="A3" s="36" t="s">
        <v>224</v>
      </c>
      <c r="B3" s="36" t="s">
        <v>349</v>
      </c>
      <c r="C3" s="37">
        <v>66510</v>
      </c>
      <c r="D3" s="37">
        <v>14887</v>
      </c>
      <c r="E3" s="37">
        <v>6237</v>
      </c>
      <c r="F3" s="37">
        <v>714</v>
      </c>
      <c r="G3" s="37">
        <v>477</v>
      </c>
      <c r="H3" s="37">
        <v>88825</v>
      </c>
    </row>
    <row r="4" spans="1:8" x14ac:dyDescent="0.25">
      <c r="A4" s="36" t="s">
        <v>224</v>
      </c>
      <c r="B4" s="36" t="s">
        <v>353</v>
      </c>
      <c r="C4" s="38">
        <v>2.9353685548000001</v>
      </c>
      <c r="D4" s="38">
        <v>2.1507865226999998</v>
      </c>
      <c r="E4" s="38">
        <v>2.0458729359999999</v>
      </c>
      <c r="F4" s="38">
        <v>2.0994540206000001</v>
      </c>
      <c r="G4" s="38">
        <v>2.7144025815999999</v>
      </c>
      <c r="H4" s="38">
        <v>2.6708688883999998</v>
      </c>
    </row>
    <row r="5" spans="1:8" x14ac:dyDescent="0.25">
      <c r="A5" s="36" t="s">
        <v>224</v>
      </c>
      <c r="B5" s="36" t="s">
        <v>446</v>
      </c>
      <c r="C5" s="38">
        <f>C4/$H4</f>
        <v>1.0990313180661033</v>
      </c>
      <c r="D5" s="38">
        <f t="shared" ref="D5:G5" si="0">D4/$H4</f>
        <v>0.80527596545124369</v>
      </c>
      <c r="E5" s="38">
        <f t="shared" si="0"/>
        <v>0.7659952702603805</v>
      </c>
      <c r="F5" s="38">
        <f t="shared" si="0"/>
        <v>0.78605656373409283</v>
      </c>
      <c r="G5" s="38">
        <f t="shared" si="0"/>
        <v>1.0162994497367781</v>
      </c>
      <c r="H5" s="58" t="s">
        <v>352</v>
      </c>
    </row>
    <row r="6" spans="1:8" x14ac:dyDescent="0.25">
      <c r="A6" s="36" t="s">
        <v>237</v>
      </c>
      <c r="B6" s="36" t="s">
        <v>349</v>
      </c>
      <c r="C6" s="37">
        <v>337055</v>
      </c>
      <c r="D6" s="37">
        <v>54915</v>
      </c>
      <c r="E6" s="37">
        <v>11726</v>
      </c>
      <c r="F6" s="37">
        <v>390</v>
      </c>
      <c r="G6" s="37">
        <v>221</v>
      </c>
      <c r="H6" s="37">
        <v>404307</v>
      </c>
    </row>
    <row r="7" spans="1:8" x14ac:dyDescent="0.25">
      <c r="A7" s="36" t="s">
        <v>237</v>
      </c>
      <c r="B7" s="36" t="s">
        <v>353</v>
      </c>
      <c r="C7" s="38">
        <v>14.656086227999999</v>
      </c>
      <c r="D7" s="38">
        <v>7.1740189194999999</v>
      </c>
      <c r="E7" s="38">
        <v>3.6895998344000001</v>
      </c>
      <c r="F7" s="38">
        <v>1.0835583151999999</v>
      </c>
      <c r="G7" s="38">
        <v>1.4000626840999999</v>
      </c>
      <c r="H7" s="38">
        <v>11.763482550000001</v>
      </c>
    </row>
    <row r="8" spans="1:8" ht="15.75" thickBot="1" x14ac:dyDescent="0.3">
      <c r="A8" s="52" t="s">
        <v>237</v>
      </c>
      <c r="B8" s="52" t="s">
        <v>446</v>
      </c>
      <c r="C8" s="60">
        <f>C7/$H7</f>
        <v>1.2458968817869329</v>
      </c>
      <c r="D8" s="60">
        <f t="shared" ref="D8:G8" si="1">D7/$H7</f>
        <v>0.60985502286480631</v>
      </c>
      <c r="E8" s="60">
        <f t="shared" si="1"/>
        <v>0.31364860012479889</v>
      </c>
      <c r="F8" s="60">
        <f t="shared" si="1"/>
        <v>9.2112034900753079E-2</v>
      </c>
      <c r="G8" s="60">
        <f t="shared" si="1"/>
        <v>0.11901770399616904</v>
      </c>
      <c r="H8" s="59" t="s">
        <v>352</v>
      </c>
    </row>
    <row r="9" spans="1:8" x14ac:dyDescent="0.25">
      <c r="A9" s="45"/>
      <c r="B9" s="33"/>
      <c r="C9" s="33"/>
      <c r="D9" s="33"/>
      <c r="E9" s="33"/>
      <c r="F9" s="33"/>
      <c r="G9" s="33"/>
      <c r="H9" s="33"/>
    </row>
    <row r="10" spans="1:8" x14ac:dyDescent="0.25">
      <c r="A10" s="33" t="s">
        <v>239</v>
      </c>
      <c r="B10" s="33"/>
      <c r="C10" s="33"/>
      <c r="D10" s="33"/>
      <c r="E10" s="33"/>
      <c r="F10" s="33"/>
      <c r="G10" s="33"/>
      <c r="H10" s="33"/>
    </row>
    <row r="11" spans="1:8" x14ac:dyDescent="0.25">
      <c r="A11" s="46" t="s">
        <v>212</v>
      </c>
      <c r="B11" s="33"/>
      <c r="C11" s="33"/>
      <c r="D11" s="33"/>
      <c r="E11" s="33"/>
      <c r="F11" s="33"/>
      <c r="G11" s="33"/>
      <c r="H11" s="33"/>
    </row>
    <row r="12" spans="1:8" x14ac:dyDescent="0.25">
      <c r="A12" s="33"/>
      <c r="B12" s="33"/>
      <c r="C12" s="33"/>
      <c r="D12" s="33"/>
      <c r="E12" s="33"/>
      <c r="F12" s="33"/>
      <c r="G12" s="33"/>
      <c r="H12" s="33"/>
    </row>
    <row r="13" spans="1:8" x14ac:dyDescent="0.25">
      <c r="A13" s="46" t="s">
        <v>70</v>
      </c>
      <c r="B13" s="33"/>
      <c r="C13" s="33"/>
      <c r="D13" s="33"/>
      <c r="E13" s="33"/>
      <c r="F13" s="33"/>
      <c r="G13" s="33"/>
      <c r="H13" s="33"/>
    </row>
    <row r="14" spans="1:8" x14ac:dyDescent="0.25">
      <c r="A14" s="33"/>
      <c r="B14" s="33"/>
      <c r="C14" s="33"/>
      <c r="D14" s="33"/>
      <c r="E14" s="33"/>
      <c r="F14" s="33"/>
      <c r="G14" s="33"/>
      <c r="H14" s="33"/>
    </row>
    <row r="15" spans="1:8" x14ac:dyDescent="0.25">
      <c r="A15" s="46" t="s">
        <v>240</v>
      </c>
      <c r="B15" s="33"/>
      <c r="C15" s="33"/>
      <c r="D15" s="33"/>
      <c r="E15" s="33"/>
      <c r="F15" s="33"/>
      <c r="G15" s="33"/>
      <c r="H15" s="33"/>
    </row>
  </sheetData>
  <mergeCells count="1">
    <mergeCell ref="A1:H1"/>
  </mergeCells>
  <hyperlinks>
    <hyperlink ref="A11" r:id="rId1" xr:uid="{00000000-0004-0000-1500-000000000000}"/>
    <hyperlink ref="A13" location="'Technical specifications'!A1" display="Technical specifications" xr:uid="{00000000-0004-0000-1500-000001000000}"/>
    <hyperlink ref="A15" location="Contents!A1" display="Back to contents" xr:uid="{00000000-0004-0000-1500-000002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15"/>
  <sheetViews>
    <sheetView workbookViewId="0">
      <selection sqref="A1:D1"/>
    </sheetView>
  </sheetViews>
  <sheetFormatPr defaultRowHeight="15" x14ac:dyDescent="0.25"/>
  <cols>
    <col min="1" max="1" width="49" customWidth="1"/>
    <col min="2" max="4" width="20" customWidth="1"/>
  </cols>
  <sheetData>
    <row r="1" spans="1:4" ht="33.75" customHeight="1" x14ac:dyDescent="0.25">
      <c r="A1" s="74" t="s">
        <v>22</v>
      </c>
      <c r="B1" s="75"/>
      <c r="C1" s="75"/>
      <c r="D1" s="75"/>
    </row>
    <row r="2" spans="1:4" x14ac:dyDescent="0.25">
      <c r="A2" s="34" t="s">
        <v>448</v>
      </c>
      <c r="B2" s="35" t="s">
        <v>224</v>
      </c>
      <c r="C2" s="35" t="s">
        <v>237</v>
      </c>
      <c r="D2" s="35" t="s">
        <v>238</v>
      </c>
    </row>
    <row r="3" spans="1:4" x14ac:dyDescent="0.25">
      <c r="A3" s="36" t="s">
        <v>449</v>
      </c>
      <c r="B3" s="37">
        <v>26594</v>
      </c>
      <c r="C3" s="37">
        <v>322048</v>
      </c>
      <c r="D3" s="37">
        <v>348642</v>
      </c>
    </row>
    <row r="4" spans="1:4" x14ac:dyDescent="0.25">
      <c r="A4" s="36" t="s">
        <v>450</v>
      </c>
      <c r="B4" s="37">
        <v>26911</v>
      </c>
      <c r="C4" s="37">
        <v>60091</v>
      </c>
      <c r="D4" s="37">
        <v>87002</v>
      </c>
    </row>
    <row r="5" spans="1:4" x14ac:dyDescent="0.25">
      <c r="A5" s="36" t="s">
        <v>451</v>
      </c>
      <c r="B5" s="37">
        <v>36416</v>
      </c>
      <c r="C5" s="37">
        <v>23998</v>
      </c>
      <c r="D5" s="37">
        <v>60414</v>
      </c>
    </row>
    <row r="6" spans="1:4" x14ac:dyDescent="0.25">
      <c r="A6" s="36" t="s">
        <v>452</v>
      </c>
      <c r="B6" s="37">
        <v>9</v>
      </c>
      <c r="C6" s="37">
        <v>314</v>
      </c>
      <c r="D6" s="37">
        <v>323</v>
      </c>
    </row>
    <row r="7" spans="1:4" x14ac:dyDescent="0.25">
      <c r="A7" s="42" t="s">
        <v>235</v>
      </c>
      <c r="B7" s="43">
        <v>89930</v>
      </c>
      <c r="C7" s="43">
        <v>406451</v>
      </c>
      <c r="D7" s="43">
        <v>496381</v>
      </c>
    </row>
    <row r="8" spans="1:4" ht="21" customHeight="1" x14ac:dyDescent="0.25">
      <c r="A8" s="76" t="s">
        <v>453</v>
      </c>
      <c r="B8" s="77"/>
      <c r="C8" s="77"/>
      <c r="D8" s="77"/>
    </row>
    <row r="9" spans="1:4" x14ac:dyDescent="0.25">
      <c r="A9" s="45"/>
      <c r="B9" s="33"/>
      <c r="C9" s="33"/>
      <c r="D9" s="33"/>
    </row>
    <row r="10" spans="1:4" x14ac:dyDescent="0.25">
      <c r="A10" s="33" t="s">
        <v>239</v>
      </c>
      <c r="B10" s="33"/>
      <c r="C10" s="33"/>
      <c r="D10" s="33"/>
    </row>
    <row r="11" spans="1:4" x14ac:dyDescent="0.25">
      <c r="A11" s="46" t="s">
        <v>212</v>
      </c>
      <c r="B11" s="33"/>
      <c r="C11" s="33"/>
      <c r="D11" s="33"/>
    </row>
    <row r="12" spans="1:4" x14ac:dyDescent="0.25">
      <c r="A12" s="33"/>
      <c r="B12" s="33"/>
      <c r="C12" s="33"/>
      <c r="D12" s="33"/>
    </row>
    <row r="13" spans="1:4" x14ac:dyDescent="0.25">
      <c r="A13" s="46" t="s">
        <v>70</v>
      </c>
      <c r="B13" s="33"/>
      <c r="C13" s="33"/>
      <c r="D13" s="33"/>
    </row>
    <row r="14" spans="1:4" x14ac:dyDescent="0.25">
      <c r="A14" s="33"/>
      <c r="B14" s="33"/>
      <c r="C14" s="33"/>
      <c r="D14" s="33"/>
    </row>
    <row r="15" spans="1:4" x14ac:dyDescent="0.25">
      <c r="A15" s="46" t="s">
        <v>240</v>
      </c>
      <c r="B15" s="33"/>
      <c r="C15" s="33"/>
      <c r="D15" s="33"/>
    </row>
  </sheetData>
  <mergeCells count="2">
    <mergeCell ref="A1:D1"/>
    <mergeCell ref="A8:D8"/>
  </mergeCells>
  <hyperlinks>
    <hyperlink ref="A11" r:id="rId1" xr:uid="{00000000-0004-0000-1600-000000000000}"/>
    <hyperlink ref="A13" location="'Technical specifications'!A1" display="Technical specifications" xr:uid="{00000000-0004-0000-1600-000001000000}"/>
    <hyperlink ref="A15" location="Contents!A1" display="Back to contents" xr:uid="{00000000-0004-0000-1600-000002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4"/>
  <sheetViews>
    <sheetView workbookViewId="0">
      <selection sqref="A1:D1"/>
    </sheetView>
  </sheetViews>
  <sheetFormatPr defaultRowHeight="15" x14ac:dyDescent="0.25"/>
  <cols>
    <col min="1" max="4" width="20" customWidth="1"/>
  </cols>
  <sheetData>
    <row r="1" spans="1:4" ht="33.75" customHeight="1" x14ac:dyDescent="0.25">
      <c r="A1" s="74" t="s">
        <v>23</v>
      </c>
      <c r="B1" s="75"/>
      <c r="C1" s="75"/>
      <c r="D1" s="75"/>
    </row>
    <row r="2" spans="1:4" x14ac:dyDescent="0.25">
      <c r="A2" s="34" t="s">
        <v>454</v>
      </c>
      <c r="B2" s="35" t="s">
        <v>224</v>
      </c>
      <c r="C2" s="35" t="s">
        <v>237</v>
      </c>
      <c r="D2" s="35" t="s">
        <v>238</v>
      </c>
    </row>
    <row r="3" spans="1:4" x14ac:dyDescent="0.25">
      <c r="A3" s="36" t="s">
        <v>227</v>
      </c>
      <c r="B3" s="37">
        <v>3810</v>
      </c>
      <c r="C3" s="37">
        <v>382</v>
      </c>
      <c r="D3" s="37">
        <v>4192</v>
      </c>
    </row>
    <row r="4" spans="1:4" x14ac:dyDescent="0.25">
      <c r="A4" s="36" t="s">
        <v>455</v>
      </c>
      <c r="B4" s="37">
        <v>31128</v>
      </c>
      <c r="C4" s="37">
        <v>338475</v>
      </c>
      <c r="D4" s="37">
        <v>369603</v>
      </c>
    </row>
    <row r="5" spans="1:4" x14ac:dyDescent="0.25">
      <c r="A5" s="36" t="s">
        <v>456</v>
      </c>
      <c r="B5" s="37">
        <v>51353</v>
      </c>
      <c r="C5" s="37">
        <v>67594</v>
      </c>
      <c r="D5" s="37">
        <v>118947</v>
      </c>
    </row>
    <row r="6" spans="1:4" x14ac:dyDescent="0.25">
      <c r="A6" s="36" t="s">
        <v>452</v>
      </c>
      <c r="B6" s="37">
        <v>3639</v>
      </c>
      <c r="C6" s="38" t="s">
        <v>352</v>
      </c>
      <c r="D6" s="37">
        <v>3639</v>
      </c>
    </row>
    <row r="7" spans="1:4" x14ac:dyDescent="0.25">
      <c r="A7" s="42" t="s">
        <v>235</v>
      </c>
      <c r="B7" s="43">
        <v>89930</v>
      </c>
      <c r="C7" s="43">
        <v>406451</v>
      </c>
      <c r="D7" s="43">
        <v>496381</v>
      </c>
    </row>
    <row r="8" spans="1:4" x14ac:dyDescent="0.25">
      <c r="A8" s="45"/>
      <c r="B8" s="33"/>
      <c r="C8" s="33"/>
      <c r="D8" s="33"/>
    </row>
    <row r="9" spans="1:4" x14ac:dyDescent="0.25">
      <c r="A9" s="33" t="s">
        <v>239</v>
      </c>
      <c r="B9" s="33"/>
      <c r="C9" s="33"/>
      <c r="D9" s="33"/>
    </row>
    <row r="10" spans="1:4" x14ac:dyDescent="0.25">
      <c r="A10" s="46" t="s">
        <v>212</v>
      </c>
      <c r="B10" s="33"/>
      <c r="C10" s="33"/>
      <c r="D10" s="33"/>
    </row>
    <row r="11" spans="1:4" x14ac:dyDescent="0.25">
      <c r="A11" s="33"/>
      <c r="B11" s="33"/>
      <c r="C11" s="33"/>
      <c r="D11" s="33"/>
    </row>
    <row r="12" spans="1:4" x14ac:dyDescent="0.25">
      <c r="A12" s="46" t="s">
        <v>70</v>
      </c>
      <c r="B12" s="33"/>
      <c r="C12" s="33"/>
      <c r="D12" s="33"/>
    </row>
    <row r="13" spans="1:4" x14ac:dyDescent="0.25">
      <c r="A13" s="33"/>
      <c r="B13" s="33"/>
      <c r="C13" s="33"/>
      <c r="D13" s="33"/>
    </row>
    <row r="14" spans="1:4" x14ac:dyDescent="0.25">
      <c r="A14" s="46" t="s">
        <v>240</v>
      </c>
      <c r="B14" s="33"/>
      <c r="C14" s="33"/>
      <c r="D14" s="33"/>
    </row>
  </sheetData>
  <mergeCells count="1">
    <mergeCell ref="A1:D1"/>
  </mergeCells>
  <hyperlinks>
    <hyperlink ref="A10" r:id="rId1" xr:uid="{00000000-0004-0000-1700-000000000000}"/>
    <hyperlink ref="A12" location="'Technical specifications'!A1" display="Technical specifications" xr:uid="{00000000-0004-0000-1700-000001000000}"/>
    <hyperlink ref="A14" location="Contents!A1" display="Back to contents" xr:uid="{00000000-0004-0000-1700-000002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30"/>
  <sheetViews>
    <sheetView workbookViewId="0">
      <selection sqref="A1:D1"/>
    </sheetView>
  </sheetViews>
  <sheetFormatPr defaultRowHeight="15" x14ac:dyDescent="0.25"/>
  <cols>
    <col min="1" max="1" width="80" customWidth="1"/>
    <col min="2" max="4" width="20" customWidth="1"/>
  </cols>
  <sheetData>
    <row r="1" spans="1:4" ht="33.75" customHeight="1" x14ac:dyDescent="0.25">
      <c r="A1" s="74" t="s">
        <v>24</v>
      </c>
      <c r="B1" s="75"/>
      <c r="C1" s="75"/>
      <c r="D1" s="75"/>
    </row>
    <row r="2" spans="1:4" x14ac:dyDescent="0.25">
      <c r="A2" s="34" t="s">
        <v>357</v>
      </c>
      <c r="B2" s="35" t="s">
        <v>224</v>
      </c>
      <c r="C2" s="35" t="s">
        <v>237</v>
      </c>
      <c r="D2" s="35" t="s">
        <v>238</v>
      </c>
    </row>
    <row r="3" spans="1:4" x14ac:dyDescent="0.25">
      <c r="A3" s="36" t="s">
        <v>457</v>
      </c>
      <c r="B3" s="37">
        <v>804</v>
      </c>
      <c r="C3" s="37">
        <v>1314</v>
      </c>
      <c r="D3" s="37">
        <v>2118</v>
      </c>
    </row>
    <row r="4" spans="1:4" x14ac:dyDescent="0.25">
      <c r="A4" s="36" t="s">
        <v>458</v>
      </c>
      <c r="B4" s="37">
        <v>2163</v>
      </c>
      <c r="C4" s="37">
        <v>10946</v>
      </c>
      <c r="D4" s="37">
        <v>13109</v>
      </c>
    </row>
    <row r="5" spans="1:4" x14ac:dyDescent="0.25">
      <c r="A5" s="36" t="s">
        <v>459</v>
      </c>
      <c r="B5" s="37">
        <v>109</v>
      </c>
      <c r="C5" s="37">
        <v>270</v>
      </c>
      <c r="D5" s="37">
        <v>379</v>
      </c>
    </row>
    <row r="6" spans="1:4" x14ac:dyDescent="0.25">
      <c r="A6" s="36" t="s">
        <v>460</v>
      </c>
      <c r="B6" s="37">
        <v>1626</v>
      </c>
      <c r="C6" s="37">
        <v>1292</v>
      </c>
      <c r="D6" s="37">
        <v>2918</v>
      </c>
    </row>
    <row r="7" spans="1:4" x14ac:dyDescent="0.25">
      <c r="A7" s="36" t="s">
        <v>461</v>
      </c>
      <c r="B7" s="37">
        <v>2612</v>
      </c>
      <c r="C7" s="37">
        <v>1346</v>
      </c>
      <c r="D7" s="37">
        <v>3958</v>
      </c>
    </row>
    <row r="8" spans="1:4" x14ac:dyDescent="0.25">
      <c r="A8" s="36" t="s">
        <v>462</v>
      </c>
      <c r="B8" s="37">
        <v>9380</v>
      </c>
      <c r="C8" s="37">
        <v>18810</v>
      </c>
      <c r="D8" s="37">
        <v>28190</v>
      </c>
    </row>
    <row r="9" spans="1:4" x14ac:dyDescent="0.25">
      <c r="A9" s="36" t="s">
        <v>463</v>
      </c>
      <c r="B9" s="37" t="s">
        <v>608</v>
      </c>
      <c r="C9" s="37" t="s">
        <v>608</v>
      </c>
      <c r="D9" s="37">
        <v>170</v>
      </c>
    </row>
    <row r="10" spans="1:4" x14ac:dyDescent="0.25">
      <c r="A10" s="36" t="s">
        <v>464</v>
      </c>
      <c r="B10" s="37">
        <v>251</v>
      </c>
      <c r="C10" s="37">
        <v>609</v>
      </c>
      <c r="D10" s="37">
        <v>860</v>
      </c>
    </row>
    <row r="11" spans="1:4" x14ac:dyDescent="0.25">
      <c r="A11" s="36" t="s">
        <v>465</v>
      </c>
      <c r="B11" s="37">
        <v>19214</v>
      </c>
      <c r="C11" s="37">
        <v>43067</v>
      </c>
      <c r="D11" s="37">
        <v>62281</v>
      </c>
    </row>
    <row r="12" spans="1:4" x14ac:dyDescent="0.25">
      <c r="A12" s="36" t="s">
        <v>466</v>
      </c>
      <c r="B12" s="37">
        <v>1662</v>
      </c>
      <c r="C12" s="37">
        <v>7958</v>
      </c>
      <c r="D12" s="37">
        <v>9620</v>
      </c>
    </row>
    <row r="13" spans="1:4" x14ac:dyDescent="0.25">
      <c r="A13" s="36" t="s">
        <v>467</v>
      </c>
      <c r="B13" s="37">
        <v>1281</v>
      </c>
      <c r="C13" s="37">
        <v>3401</v>
      </c>
      <c r="D13" s="37">
        <v>4682</v>
      </c>
    </row>
    <row r="14" spans="1:4" x14ac:dyDescent="0.25">
      <c r="A14" s="36" t="s">
        <v>468</v>
      </c>
      <c r="B14" s="37">
        <v>685</v>
      </c>
      <c r="C14" s="37">
        <v>1357</v>
      </c>
      <c r="D14" s="37">
        <v>2042</v>
      </c>
    </row>
    <row r="15" spans="1:4" x14ac:dyDescent="0.25">
      <c r="A15" s="36" t="s">
        <v>469</v>
      </c>
      <c r="B15" s="37">
        <v>19616</v>
      </c>
      <c r="C15" s="37">
        <v>239033</v>
      </c>
      <c r="D15" s="37">
        <v>258649</v>
      </c>
    </row>
    <row r="16" spans="1:4" x14ac:dyDescent="0.25">
      <c r="A16" s="36" t="s">
        <v>470</v>
      </c>
      <c r="B16" s="37">
        <v>694</v>
      </c>
      <c r="C16" s="37">
        <v>2191</v>
      </c>
      <c r="D16" s="37">
        <v>2885</v>
      </c>
    </row>
    <row r="17" spans="1:4" x14ac:dyDescent="0.25">
      <c r="A17" s="36" t="s">
        <v>471</v>
      </c>
      <c r="B17" s="37" t="s">
        <v>608</v>
      </c>
      <c r="C17" s="37" t="s">
        <v>608</v>
      </c>
      <c r="D17" s="37">
        <v>10</v>
      </c>
    </row>
    <row r="18" spans="1:4" x14ac:dyDescent="0.25">
      <c r="A18" s="36" t="s">
        <v>472</v>
      </c>
      <c r="B18" s="37">
        <v>119</v>
      </c>
      <c r="C18" s="37">
        <v>856</v>
      </c>
      <c r="D18" s="37">
        <v>975</v>
      </c>
    </row>
    <row r="19" spans="1:4" x14ac:dyDescent="0.25">
      <c r="A19" s="36" t="s">
        <v>473</v>
      </c>
      <c r="B19" s="37">
        <v>8790</v>
      </c>
      <c r="C19" s="37">
        <v>11617</v>
      </c>
      <c r="D19" s="37">
        <v>20407</v>
      </c>
    </row>
    <row r="20" spans="1:4" x14ac:dyDescent="0.25">
      <c r="A20" s="36" t="s">
        <v>474</v>
      </c>
      <c r="B20" s="37">
        <v>20080</v>
      </c>
      <c r="C20" s="37">
        <v>61613</v>
      </c>
      <c r="D20" s="37">
        <v>81693</v>
      </c>
    </row>
    <row r="21" spans="1:4" x14ac:dyDescent="0.25">
      <c r="A21" s="36" t="s">
        <v>475</v>
      </c>
      <c r="B21" s="37">
        <v>685</v>
      </c>
      <c r="C21" s="37">
        <v>512</v>
      </c>
      <c r="D21" s="37">
        <v>1197</v>
      </c>
    </row>
    <row r="22" spans="1:4" x14ac:dyDescent="0.25">
      <c r="A22" s="36" t="s">
        <v>452</v>
      </c>
      <c r="B22" s="37">
        <v>92</v>
      </c>
      <c r="C22" s="37">
        <v>146</v>
      </c>
      <c r="D22" s="37">
        <v>238</v>
      </c>
    </row>
    <row r="23" spans="1:4" x14ac:dyDescent="0.25">
      <c r="A23" s="42" t="s">
        <v>235</v>
      </c>
      <c r="B23" s="43">
        <v>89930</v>
      </c>
      <c r="C23" s="43">
        <v>406451</v>
      </c>
      <c r="D23" s="43">
        <v>496381</v>
      </c>
    </row>
    <row r="24" spans="1:4" x14ac:dyDescent="0.25">
      <c r="A24" s="45"/>
      <c r="B24" s="33"/>
      <c r="C24" s="33"/>
      <c r="D24" s="33"/>
    </row>
    <row r="25" spans="1:4" x14ac:dyDescent="0.25">
      <c r="A25" s="33" t="s">
        <v>239</v>
      </c>
      <c r="B25" s="33"/>
      <c r="C25" s="33"/>
      <c r="D25" s="33"/>
    </row>
    <row r="26" spans="1:4" x14ac:dyDescent="0.25">
      <c r="A26" s="46" t="s">
        <v>212</v>
      </c>
      <c r="B26" s="33"/>
      <c r="C26" s="33"/>
      <c r="D26" s="33"/>
    </row>
    <row r="27" spans="1:4" x14ac:dyDescent="0.25">
      <c r="A27" s="33"/>
      <c r="B27" s="33"/>
      <c r="C27" s="33"/>
      <c r="D27" s="33"/>
    </row>
    <row r="28" spans="1:4" x14ac:dyDescent="0.25">
      <c r="A28" s="46" t="s">
        <v>70</v>
      </c>
      <c r="B28" s="33"/>
      <c r="C28" s="33"/>
      <c r="D28" s="33"/>
    </row>
    <row r="29" spans="1:4" x14ac:dyDescent="0.25">
      <c r="A29" s="33"/>
      <c r="B29" s="33"/>
      <c r="C29" s="33"/>
      <c r="D29" s="33"/>
    </row>
    <row r="30" spans="1:4" x14ac:dyDescent="0.25">
      <c r="A30" s="46" t="s">
        <v>240</v>
      </c>
      <c r="B30" s="33"/>
      <c r="C30" s="33"/>
      <c r="D30" s="33"/>
    </row>
  </sheetData>
  <mergeCells count="1">
    <mergeCell ref="A1:D1"/>
  </mergeCells>
  <hyperlinks>
    <hyperlink ref="A26" r:id="rId1" xr:uid="{00000000-0004-0000-1800-000000000000}"/>
    <hyperlink ref="A28" location="'Technical specifications'!A1" display="Technical specifications" xr:uid="{00000000-0004-0000-1800-000001000000}"/>
    <hyperlink ref="A30" location="Contents!A1" display="Back to contents" xr:uid="{00000000-0004-0000-1800-000002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31"/>
  <sheetViews>
    <sheetView workbookViewId="0">
      <selection sqref="A1:D1"/>
    </sheetView>
  </sheetViews>
  <sheetFormatPr defaultRowHeight="15" x14ac:dyDescent="0.25"/>
  <cols>
    <col min="1" max="1" width="60" customWidth="1"/>
    <col min="2" max="4" width="20" customWidth="1"/>
  </cols>
  <sheetData>
    <row r="1" spans="1:4" ht="33.75" customHeight="1" x14ac:dyDescent="0.25">
      <c r="A1" s="74" t="s">
        <v>25</v>
      </c>
      <c r="B1" s="75"/>
      <c r="C1" s="75"/>
      <c r="D1" s="75"/>
    </row>
    <row r="2" spans="1:4" x14ac:dyDescent="0.25">
      <c r="A2" s="34" t="s">
        <v>357</v>
      </c>
      <c r="B2" s="35" t="s">
        <v>224</v>
      </c>
      <c r="C2" s="35" t="s">
        <v>237</v>
      </c>
      <c r="D2" s="35" t="s">
        <v>238</v>
      </c>
    </row>
    <row r="3" spans="1:4" x14ac:dyDescent="0.25">
      <c r="A3" s="36" t="s">
        <v>476</v>
      </c>
      <c r="B3" s="37">
        <v>3288</v>
      </c>
      <c r="C3" s="37">
        <v>115800</v>
      </c>
      <c r="D3" s="37">
        <v>119088</v>
      </c>
    </row>
    <row r="4" spans="1:4" x14ac:dyDescent="0.25">
      <c r="A4" s="36" t="s">
        <v>477</v>
      </c>
      <c r="B4" s="37">
        <v>1603</v>
      </c>
      <c r="C4" s="37">
        <v>42619</v>
      </c>
      <c r="D4" s="37">
        <v>44222</v>
      </c>
    </row>
    <row r="5" spans="1:4" x14ac:dyDescent="0.25">
      <c r="A5" s="36" t="s">
        <v>478</v>
      </c>
      <c r="B5" s="37">
        <v>6319</v>
      </c>
      <c r="C5" s="37">
        <v>18194</v>
      </c>
      <c r="D5" s="37">
        <v>24513</v>
      </c>
    </row>
    <row r="6" spans="1:4" x14ac:dyDescent="0.25">
      <c r="A6" s="36" t="s">
        <v>479</v>
      </c>
      <c r="B6" s="37">
        <v>6985</v>
      </c>
      <c r="C6" s="37">
        <v>15341</v>
      </c>
      <c r="D6" s="37">
        <v>22326</v>
      </c>
    </row>
    <row r="7" spans="1:4" x14ac:dyDescent="0.25">
      <c r="A7" s="36" t="s">
        <v>480</v>
      </c>
      <c r="B7" s="37">
        <v>11993</v>
      </c>
      <c r="C7" s="37">
        <v>6518</v>
      </c>
      <c r="D7" s="37">
        <v>18511</v>
      </c>
    </row>
    <row r="8" spans="1:4" x14ac:dyDescent="0.25">
      <c r="A8" s="36" t="s">
        <v>481</v>
      </c>
      <c r="B8" s="37">
        <v>203</v>
      </c>
      <c r="C8" s="37">
        <v>12659</v>
      </c>
      <c r="D8" s="37">
        <v>12862</v>
      </c>
    </row>
    <row r="9" spans="1:4" x14ac:dyDescent="0.25">
      <c r="A9" s="36" t="s">
        <v>482</v>
      </c>
      <c r="B9" s="37">
        <v>1068</v>
      </c>
      <c r="C9" s="37">
        <v>11749</v>
      </c>
      <c r="D9" s="37">
        <v>12817</v>
      </c>
    </row>
    <row r="10" spans="1:4" x14ac:dyDescent="0.25">
      <c r="A10" s="36" t="s">
        <v>483</v>
      </c>
      <c r="B10" s="37">
        <v>1445</v>
      </c>
      <c r="C10" s="37">
        <v>9534</v>
      </c>
      <c r="D10" s="37">
        <v>10979</v>
      </c>
    </row>
    <row r="11" spans="1:4" x14ac:dyDescent="0.25">
      <c r="A11" s="36" t="s">
        <v>484</v>
      </c>
      <c r="B11" s="37">
        <v>1813</v>
      </c>
      <c r="C11" s="37">
        <v>7221</v>
      </c>
      <c r="D11" s="37">
        <v>9034</v>
      </c>
    </row>
    <row r="12" spans="1:4" x14ac:dyDescent="0.25">
      <c r="A12" s="36" t="s">
        <v>485</v>
      </c>
      <c r="B12" s="37">
        <v>1902</v>
      </c>
      <c r="C12" s="37">
        <v>7011</v>
      </c>
      <c r="D12" s="37">
        <v>8913</v>
      </c>
    </row>
    <row r="13" spans="1:4" x14ac:dyDescent="0.25">
      <c r="A13" s="36" t="s">
        <v>486</v>
      </c>
      <c r="B13" s="37">
        <v>1230</v>
      </c>
      <c r="C13" s="37">
        <v>7390</v>
      </c>
      <c r="D13" s="37">
        <v>8620</v>
      </c>
    </row>
    <row r="14" spans="1:4" x14ac:dyDescent="0.25">
      <c r="A14" s="36" t="s">
        <v>487</v>
      </c>
      <c r="B14" s="37">
        <v>766</v>
      </c>
      <c r="C14" s="37">
        <v>7784</v>
      </c>
      <c r="D14" s="37">
        <v>8550</v>
      </c>
    </row>
    <row r="15" spans="1:4" x14ac:dyDescent="0.25">
      <c r="A15" s="36" t="s">
        <v>488</v>
      </c>
      <c r="B15" s="37">
        <v>320</v>
      </c>
      <c r="C15" s="37">
        <v>7115</v>
      </c>
      <c r="D15" s="37">
        <v>7435</v>
      </c>
    </row>
    <row r="16" spans="1:4" x14ac:dyDescent="0.25">
      <c r="A16" s="36" t="s">
        <v>489</v>
      </c>
      <c r="B16" s="37">
        <v>2976</v>
      </c>
      <c r="C16" s="37">
        <v>3577</v>
      </c>
      <c r="D16" s="37">
        <v>6553</v>
      </c>
    </row>
    <row r="17" spans="1:4" x14ac:dyDescent="0.25">
      <c r="A17" s="36" t="s">
        <v>490</v>
      </c>
      <c r="B17" s="37">
        <v>500</v>
      </c>
      <c r="C17" s="37">
        <v>5714</v>
      </c>
      <c r="D17" s="37">
        <v>6214</v>
      </c>
    </row>
    <row r="18" spans="1:4" x14ac:dyDescent="0.25">
      <c r="A18" s="36" t="s">
        <v>491</v>
      </c>
      <c r="B18" s="37">
        <v>1102</v>
      </c>
      <c r="C18" s="37">
        <v>4493</v>
      </c>
      <c r="D18" s="37">
        <v>5595</v>
      </c>
    </row>
    <row r="19" spans="1:4" x14ac:dyDescent="0.25">
      <c r="A19" s="36" t="s">
        <v>492</v>
      </c>
      <c r="B19" s="37">
        <v>153</v>
      </c>
      <c r="C19" s="37">
        <v>5280</v>
      </c>
      <c r="D19" s="37">
        <v>5433</v>
      </c>
    </row>
    <row r="20" spans="1:4" x14ac:dyDescent="0.25">
      <c r="A20" s="36" t="s">
        <v>493</v>
      </c>
      <c r="B20" s="37">
        <v>892</v>
      </c>
      <c r="C20" s="37">
        <v>4053</v>
      </c>
      <c r="D20" s="37">
        <v>4945</v>
      </c>
    </row>
    <row r="21" spans="1:4" x14ac:dyDescent="0.25">
      <c r="A21" s="36" t="s">
        <v>494</v>
      </c>
      <c r="B21" s="37">
        <v>2702</v>
      </c>
      <c r="C21" s="37">
        <v>1793</v>
      </c>
      <c r="D21" s="37">
        <v>4495</v>
      </c>
    </row>
    <row r="22" spans="1:4" x14ac:dyDescent="0.25">
      <c r="A22" s="36" t="s">
        <v>495</v>
      </c>
      <c r="B22" s="37">
        <v>2431</v>
      </c>
      <c r="C22" s="37">
        <v>1988</v>
      </c>
      <c r="D22" s="37">
        <v>4419</v>
      </c>
    </row>
    <row r="23" spans="1:4" x14ac:dyDescent="0.25">
      <c r="A23" s="36" t="s">
        <v>183</v>
      </c>
      <c r="B23" s="37">
        <v>40236</v>
      </c>
      <c r="C23" s="37">
        <v>110618</v>
      </c>
      <c r="D23" s="37">
        <v>150854</v>
      </c>
    </row>
    <row r="24" spans="1:4" x14ac:dyDescent="0.25">
      <c r="A24" s="42" t="s">
        <v>235</v>
      </c>
      <c r="B24" s="43">
        <v>89927</v>
      </c>
      <c r="C24" s="43">
        <v>406451</v>
      </c>
      <c r="D24" s="43">
        <v>496378</v>
      </c>
    </row>
    <row r="25" spans="1:4" x14ac:dyDescent="0.25">
      <c r="A25" s="45"/>
      <c r="B25" s="33"/>
      <c r="C25" s="33"/>
      <c r="D25" s="33"/>
    </row>
    <row r="26" spans="1:4" x14ac:dyDescent="0.25">
      <c r="A26" s="33" t="s">
        <v>239</v>
      </c>
      <c r="B26" s="33"/>
      <c r="C26" s="33"/>
      <c r="D26" s="33"/>
    </row>
    <row r="27" spans="1:4" x14ac:dyDescent="0.25">
      <c r="A27" s="46" t="s">
        <v>212</v>
      </c>
      <c r="B27" s="33"/>
      <c r="C27" s="33"/>
      <c r="D27" s="33"/>
    </row>
    <row r="28" spans="1:4" x14ac:dyDescent="0.25">
      <c r="A28" s="33"/>
      <c r="B28" s="33"/>
      <c r="C28" s="33"/>
      <c r="D28" s="33"/>
    </row>
    <row r="29" spans="1:4" x14ac:dyDescent="0.25">
      <c r="A29" s="46" t="s">
        <v>70</v>
      </c>
      <c r="B29" s="33"/>
      <c r="C29" s="33"/>
      <c r="D29" s="33"/>
    </row>
    <row r="30" spans="1:4" x14ac:dyDescent="0.25">
      <c r="A30" s="33"/>
      <c r="B30" s="33"/>
      <c r="C30" s="33"/>
      <c r="D30" s="33"/>
    </row>
    <row r="31" spans="1:4" x14ac:dyDescent="0.25">
      <c r="A31" s="46" t="s">
        <v>240</v>
      </c>
      <c r="B31" s="33"/>
      <c r="C31" s="33"/>
      <c r="D31" s="33"/>
    </row>
  </sheetData>
  <mergeCells count="1">
    <mergeCell ref="A1:D1"/>
  </mergeCells>
  <hyperlinks>
    <hyperlink ref="A27" r:id="rId1" xr:uid="{00000000-0004-0000-1900-000000000000}"/>
    <hyperlink ref="A29" location="'Technical specifications'!A1" display="Technical specifications" xr:uid="{00000000-0004-0000-1900-000001000000}"/>
    <hyperlink ref="A31" location="Contents!A1" display="Back to contents" xr:uid="{00000000-0004-0000-1900-000002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22"/>
  <sheetViews>
    <sheetView workbookViewId="0">
      <selection sqref="A1:E1"/>
    </sheetView>
  </sheetViews>
  <sheetFormatPr defaultRowHeight="15" x14ac:dyDescent="0.25"/>
  <cols>
    <col min="1" max="1" width="55" customWidth="1"/>
    <col min="2" max="2" width="25" customWidth="1"/>
    <col min="3" max="5" width="20" customWidth="1"/>
  </cols>
  <sheetData>
    <row r="1" spans="1:5" ht="33.75" customHeight="1" x14ac:dyDescent="0.25">
      <c r="A1" s="74" t="s">
        <v>26</v>
      </c>
      <c r="B1" s="75"/>
      <c r="C1" s="75"/>
      <c r="D1" s="75"/>
      <c r="E1" s="75"/>
    </row>
    <row r="2" spans="1:5" x14ac:dyDescent="0.25">
      <c r="A2" s="34" t="s">
        <v>383</v>
      </c>
      <c r="B2" s="34" t="s">
        <v>242</v>
      </c>
      <c r="C2" s="35" t="s">
        <v>224</v>
      </c>
      <c r="D2" s="35" t="s">
        <v>237</v>
      </c>
      <c r="E2" s="35" t="s">
        <v>238</v>
      </c>
    </row>
    <row r="3" spans="1:5" x14ac:dyDescent="0.25">
      <c r="A3" s="36" t="s">
        <v>392</v>
      </c>
      <c r="B3" s="36" t="s">
        <v>385</v>
      </c>
      <c r="C3" s="37">
        <v>78681</v>
      </c>
      <c r="D3" s="37">
        <v>360732</v>
      </c>
      <c r="E3" s="37">
        <v>439413</v>
      </c>
    </row>
    <row r="4" spans="1:5" x14ac:dyDescent="0.25">
      <c r="A4" s="36" t="s">
        <v>496</v>
      </c>
      <c r="B4" s="36" t="s">
        <v>385</v>
      </c>
      <c r="C4" s="37">
        <v>65835</v>
      </c>
      <c r="D4" s="37">
        <v>176900</v>
      </c>
      <c r="E4" s="37">
        <v>242735</v>
      </c>
    </row>
    <row r="5" spans="1:5" x14ac:dyDescent="0.25">
      <c r="A5" s="36" t="s">
        <v>497</v>
      </c>
      <c r="B5" s="36" t="s">
        <v>385</v>
      </c>
      <c r="C5" s="37">
        <v>6872</v>
      </c>
      <c r="D5" s="37">
        <v>210971</v>
      </c>
      <c r="E5" s="37">
        <v>217843</v>
      </c>
    </row>
    <row r="6" spans="1:5" x14ac:dyDescent="0.25">
      <c r="A6" s="36" t="s">
        <v>498</v>
      </c>
      <c r="B6" s="36" t="s">
        <v>385</v>
      </c>
      <c r="C6" s="37">
        <v>5363</v>
      </c>
      <c r="D6" s="37">
        <v>135955</v>
      </c>
      <c r="E6" s="37">
        <v>141318</v>
      </c>
    </row>
    <row r="7" spans="1:5" x14ac:dyDescent="0.25">
      <c r="A7" s="36" t="s">
        <v>390</v>
      </c>
      <c r="B7" s="36" t="s">
        <v>385</v>
      </c>
      <c r="C7" s="37">
        <v>39292</v>
      </c>
      <c r="D7" s="37">
        <v>19871</v>
      </c>
      <c r="E7" s="37">
        <v>59163</v>
      </c>
    </row>
    <row r="8" spans="1:5" x14ac:dyDescent="0.25">
      <c r="A8" s="36" t="s">
        <v>499</v>
      </c>
      <c r="B8" s="36" t="s">
        <v>385</v>
      </c>
      <c r="C8" s="37">
        <v>30018</v>
      </c>
      <c r="D8" s="37">
        <v>25504</v>
      </c>
      <c r="E8" s="37">
        <v>55522</v>
      </c>
    </row>
    <row r="9" spans="1:5" x14ac:dyDescent="0.25">
      <c r="A9" s="36" t="s">
        <v>391</v>
      </c>
      <c r="B9" s="36" t="s">
        <v>385</v>
      </c>
      <c r="C9" s="37">
        <v>28325</v>
      </c>
      <c r="D9" s="37">
        <v>16086</v>
      </c>
      <c r="E9" s="37">
        <v>44411</v>
      </c>
    </row>
    <row r="10" spans="1:5" x14ac:dyDescent="0.25">
      <c r="A10" s="36" t="s">
        <v>500</v>
      </c>
      <c r="B10" s="36" t="s">
        <v>385</v>
      </c>
      <c r="C10" s="37">
        <v>25392</v>
      </c>
      <c r="D10" s="37">
        <v>15285</v>
      </c>
      <c r="E10" s="37">
        <v>40677</v>
      </c>
    </row>
    <row r="11" spans="1:5" x14ac:dyDescent="0.25">
      <c r="A11" s="36" t="s">
        <v>501</v>
      </c>
      <c r="B11" s="36" t="s">
        <v>385</v>
      </c>
      <c r="C11" s="37">
        <v>189</v>
      </c>
      <c r="D11" s="37">
        <v>17512</v>
      </c>
      <c r="E11" s="37">
        <v>17701</v>
      </c>
    </row>
    <row r="12" spans="1:5" x14ac:dyDescent="0.25">
      <c r="A12" s="36" t="s">
        <v>502</v>
      </c>
      <c r="B12" s="36" t="s">
        <v>385</v>
      </c>
      <c r="C12" s="37">
        <v>9612</v>
      </c>
      <c r="D12" s="37">
        <v>7026</v>
      </c>
      <c r="E12" s="37">
        <v>16638</v>
      </c>
    </row>
    <row r="13" spans="1:5" x14ac:dyDescent="0.25">
      <c r="A13" s="36" t="s">
        <v>183</v>
      </c>
      <c r="B13" s="36" t="s">
        <v>385</v>
      </c>
      <c r="C13" s="37">
        <v>46968</v>
      </c>
      <c r="D13" s="37">
        <v>136733</v>
      </c>
      <c r="E13" s="37">
        <v>183701</v>
      </c>
    </row>
    <row r="14" spans="1:5" x14ac:dyDescent="0.25">
      <c r="A14" s="47" t="s">
        <v>235</v>
      </c>
      <c r="B14" s="47" t="s">
        <v>385</v>
      </c>
      <c r="C14" s="48">
        <v>336547</v>
      </c>
      <c r="D14" s="48">
        <v>1122575</v>
      </c>
      <c r="E14" s="48">
        <v>1459122</v>
      </c>
    </row>
    <row r="15" spans="1:5" x14ac:dyDescent="0.25">
      <c r="A15" s="52"/>
      <c r="B15" s="52" t="s">
        <v>395</v>
      </c>
      <c r="C15" s="53">
        <v>2254</v>
      </c>
      <c r="D15" s="53">
        <v>307</v>
      </c>
      <c r="E15" s="53">
        <v>2561</v>
      </c>
    </row>
    <row r="16" spans="1:5" x14ac:dyDescent="0.25">
      <c r="A16" s="45"/>
      <c r="B16" s="33"/>
      <c r="C16" s="33"/>
      <c r="D16" s="33"/>
      <c r="E16" s="33"/>
    </row>
    <row r="17" spans="1:5" x14ac:dyDescent="0.25">
      <c r="A17" s="33" t="s">
        <v>239</v>
      </c>
      <c r="B17" s="33"/>
      <c r="C17" s="33"/>
      <c r="D17" s="33"/>
      <c r="E17" s="33"/>
    </row>
    <row r="18" spans="1:5" x14ac:dyDescent="0.25">
      <c r="A18" s="46" t="s">
        <v>212</v>
      </c>
      <c r="B18" s="33"/>
      <c r="C18" s="33"/>
      <c r="D18" s="33"/>
      <c r="E18" s="33"/>
    </row>
    <row r="19" spans="1:5" x14ac:dyDescent="0.25">
      <c r="A19" s="33"/>
      <c r="B19" s="33"/>
      <c r="C19" s="33"/>
      <c r="D19" s="33"/>
      <c r="E19" s="33"/>
    </row>
    <row r="20" spans="1:5" x14ac:dyDescent="0.25">
      <c r="A20" s="46" t="s">
        <v>70</v>
      </c>
      <c r="B20" s="33"/>
      <c r="C20" s="33"/>
      <c r="D20" s="33"/>
      <c r="E20" s="33"/>
    </row>
    <row r="21" spans="1:5" x14ac:dyDescent="0.25">
      <c r="A21" s="33"/>
      <c r="B21" s="33"/>
      <c r="C21" s="33"/>
      <c r="D21" s="33"/>
      <c r="E21" s="33"/>
    </row>
    <row r="22" spans="1:5" x14ac:dyDescent="0.25">
      <c r="A22" s="46" t="s">
        <v>240</v>
      </c>
      <c r="B22" s="33"/>
      <c r="C22" s="33"/>
      <c r="D22" s="33"/>
      <c r="E22" s="33"/>
    </row>
  </sheetData>
  <mergeCells count="1">
    <mergeCell ref="A1:E1"/>
  </mergeCells>
  <hyperlinks>
    <hyperlink ref="A18" r:id="rId1" xr:uid="{00000000-0004-0000-1A00-000000000000}"/>
    <hyperlink ref="A20" location="'Technical specifications'!A1" display="Technical specifications" xr:uid="{00000000-0004-0000-1A00-000001000000}"/>
    <hyperlink ref="A22" location="Contents!A1" display="Back to contents" xr:uid="{00000000-0004-0000-1A00-000002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21"/>
  <sheetViews>
    <sheetView workbookViewId="0">
      <selection sqref="A1:D1"/>
    </sheetView>
  </sheetViews>
  <sheetFormatPr defaultRowHeight="15" x14ac:dyDescent="0.25"/>
  <cols>
    <col min="1" max="1" width="70" customWidth="1"/>
    <col min="2" max="4" width="20" customWidth="1"/>
  </cols>
  <sheetData>
    <row r="1" spans="1:4" ht="33.75" customHeight="1" x14ac:dyDescent="0.25">
      <c r="A1" s="74" t="s">
        <v>27</v>
      </c>
      <c r="B1" s="75"/>
      <c r="C1" s="75"/>
      <c r="D1" s="75"/>
    </row>
    <row r="2" spans="1:4" x14ac:dyDescent="0.25">
      <c r="A2" s="34" t="s">
        <v>400</v>
      </c>
      <c r="B2" s="35" t="s">
        <v>224</v>
      </c>
      <c r="C2" s="35" t="s">
        <v>237</v>
      </c>
      <c r="D2" s="35" t="s">
        <v>238</v>
      </c>
    </row>
    <row r="3" spans="1:4" x14ac:dyDescent="0.25">
      <c r="A3" s="36" t="s">
        <v>401</v>
      </c>
      <c r="B3" s="37">
        <v>63867</v>
      </c>
      <c r="C3" s="37">
        <v>352137</v>
      </c>
      <c r="D3" s="37">
        <v>416004</v>
      </c>
    </row>
    <row r="4" spans="1:4" x14ac:dyDescent="0.25">
      <c r="A4" s="36" t="s">
        <v>402</v>
      </c>
      <c r="B4" s="37">
        <v>9947</v>
      </c>
      <c r="C4" s="37">
        <v>4228</v>
      </c>
      <c r="D4" s="37">
        <v>14175</v>
      </c>
    </row>
    <row r="5" spans="1:4" x14ac:dyDescent="0.25">
      <c r="A5" s="36" t="s">
        <v>503</v>
      </c>
      <c r="B5" s="37">
        <v>1576</v>
      </c>
      <c r="C5" s="37">
        <v>1845</v>
      </c>
      <c r="D5" s="37">
        <v>3421</v>
      </c>
    </row>
    <row r="6" spans="1:4" x14ac:dyDescent="0.25">
      <c r="A6" s="36" t="s">
        <v>504</v>
      </c>
      <c r="B6" s="37">
        <v>771</v>
      </c>
      <c r="C6" s="37">
        <v>455</v>
      </c>
      <c r="D6" s="37">
        <v>1226</v>
      </c>
    </row>
    <row r="7" spans="1:4" x14ac:dyDescent="0.25">
      <c r="A7" s="36" t="s">
        <v>505</v>
      </c>
      <c r="B7" s="37" t="s">
        <v>608</v>
      </c>
      <c r="C7" s="37" t="s">
        <v>608</v>
      </c>
      <c r="D7" s="37">
        <v>17</v>
      </c>
    </row>
    <row r="8" spans="1:4" x14ac:dyDescent="0.25">
      <c r="A8" s="36" t="s">
        <v>403</v>
      </c>
      <c r="B8" s="37">
        <v>622</v>
      </c>
      <c r="C8" s="37">
        <v>321</v>
      </c>
      <c r="D8" s="37">
        <v>943</v>
      </c>
    </row>
    <row r="9" spans="1:4" x14ac:dyDescent="0.25">
      <c r="A9" s="36" t="s">
        <v>404</v>
      </c>
      <c r="B9" s="37">
        <v>12105</v>
      </c>
      <c r="C9" s="37">
        <v>47034</v>
      </c>
      <c r="D9" s="37">
        <v>59139</v>
      </c>
    </row>
    <row r="10" spans="1:4" x14ac:dyDescent="0.25">
      <c r="A10" s="36" t="s">
        <v>405</v>
      </c>
      <c r="B10" s="37">
        <v>712</v>
      </c>
      <c r="C10" s="37">
        <v>328</v>
      </c>
      <c r="D10" s="37">
        <v>1040</v>
      </c>
    </row>
    <row r="11" spans="1:4" x14ac:dyDescent="0.25">
      <c r="A11" s="36" t="s">
        <v>506</v>
      </c>
      <c r="B11" s="37" t="s">
        <v>608</v>
      </c>
      <c r="C11" s="37" t="s">
        <v>608</v>
      </c>
      <c r="D11" s="37">
        <v>131</v>
      </c>
    </row>
    <row r="12" spans="1:4" x14ac:dyDescent="0.25">
      <c r="A12" s="36" t="s">
        <v>406</v>
      </c>
      <c r="B12" s="37">
        <v>197</v>
      </c>
      <c r="C12" s="37">
        <v>88</v>
      </c>
      <c r="D12" s="37">
        <v>285</v>
      </c>
    </row>
    <row r="13" spans="1:4" x14ac:dyDescent="0.25">
      <c r="A13" s="42" t="s">
        <v>235</v>
      </c>
      <c r="B13" s="43">
        <v>89930</v>
      </c>
      <c r="C13" s="43">
        <v>406451</v>
      </c>
      <c r="D13" s="43">
        <v>496381</v>
      </c>
    </row>
    <row r="14" spans="1:4" ht="21" customHeight="1" x14ac:dyDescent="0.25">
      <c r="A14" s="76" t="s">
        <v>407</v>
      </c>
      <c r="B14" s="77"/>
      <c r="C14" s="77"/>
      <c r="D14" s="77"/>
    </row>
    <row r="15" spans="1:4" x14ac:dyDescent="0.25">
      <c r="A15" s="45"/>
      <c r="B15" s="33"/>
      <c r="C15" s="33"/>
      <c r="D15" s="33"/>
    </row>
    <row r="16" spans="1:4" x14ac:dyDescent="0.25">
      <c r="A16" s="33" t="s">
        <v>239</v>
      </c>
      <c r="B16" s="33"/>
      <c r="C16" s="33"/>
      <c r="D16" s="33"/>
    </row>
    <row r="17" spans="1:4" x14ac:dyDescent="0.25">
      <c r="A17" s="46" t="s">
        <v>212</v>
      </c>
      <c r="B17" s="33"/>
      <c r="C17" s="33"/>
      <c r="D17" s="33"/>
    </row>
    <row r="18" spans="1:4" x14ac:dyDescent="0.25">
      <c r="A18" s="33"/>
      <c r="B18" s="33"/>
      <c r="C18" s="33"/>
      <c r="D18" s="33"/>
    </row>
    <row r="19" spans="1:4" x14ac:dyDescent="0.25">
      <c r="A19" s="46" t="s">
        <v>70</v>
      </c>
      <c r="B19" s="33"/>
      <c r="C19" s="33"/>
      <c r="D19" s="33"/>
    </row>
    <row r="20" spans="1:4" x14ac:dyDescent="0.25">
      <c r="A20" s="33"/>
      <c r="B20" s="33"/>
      <c r="C20" s="33"/>
      <c r="D20" s="33"/>
    </row>
    <row r="21" spans="1:4" x14ac:dyDescent="0.25">
      <c r="A21" s="46" t="s">
        <v>240</v>
      </c>
      <c r="B21" s="33"/>
      <c r="C21" s="33"/>
      <c r="D21" s="33"/>
    </row>
  </sheetData>
  <mergeCells count="2">
    <mergeCell ref="A1:D1"/>
    <mergeCell ref="A14:D14"/>
  </mergeCells>
  <hyperlinks>
    <hyperlink ref="A17" r:id="rId1" xr:uid="{00000000-0004-0000-1B00-000000000000}"/>
    <hyperlink ref="A19" location="'Technical specifications'!A1" display="Technical specifications" xr:uid="{00000000-0004-0000-1B00-000001000000}"/>
    <hyperlink ref="A21" location="Contents!A1" display="Back to contents" xr:uid="{00000000-0004-0000-1B00-000002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18"/>
  <sheetViews>
    <sheetView workbookViewId="0">
      <selection sqref="A1:D1"/>
    </sheetView>
  </sheetViews>
  <sheetFormatPr defaultRowHeight="15" x14ac:dyDescent="0.25"/>
  <cols>
    <col min="1" max="1" width="30" customWidth="1"/>
    <col min="2" max="4" width="20" customWidth="1"/>
  </cols>
  <sheetData>
    <row r="1" spans="1:4" ht="33.75" customHeight="1" x14ac:dyDescent="0.25">
      <c r="A1" s="74" t="s">
        <v>28</v>
      </c>
      <c r="B1" s="75"/>
      <c r="C1" s="75"/>
      <c r="D1" s="75"/>
    </row>
    <row r="2" spans="1:4" x14ac:dyDescent="0.25">
      <c r="A2" s="34" t="s">
        <v>409</v>
      </c>
      <c r="B2" s="35" t="s">
        <v>224</v>
      </c>
      <c r="C2" s="35" t="s">
        <v>237</v>
      </c>
      <c r="D2" s="35" t="s">
        <v>238</v>
      </c>
    </row>
    <row r="3" spans="1:4" x14ac:dyDescent="0.25">
      <c r="A3" s="36" t="s">
        <v>410</v>
      </c>
      <c r="B3" s="37">
        <v>68508</v>
      </c>
      <c r="C3" s="37">
        <v>3304</v>
      </c>
      <c r="D3" s="37">
        <v>71812</v>
      </c>
    </row>
    <row r="4" spans="1:4" x14ac:dyDescent="0.25">
      <c r="A4" s="36" t="s">
        <v>411</v>
      </c>
      <c r="B4" s="37">
        <v>18517</v>
      </c>
      <c r="C4" s="37">
        <v>372407</v>
      </c>
      <c r="D4" s="37">
        <v>390924</v>
      </c>
    </row>
    <row r="5" spans="1:4" x14ac:dyDescent="0.25">
      <c r="A5" s="36" t="s">
        <v>412</v>
      </c>
      <c r="B5" s="37">
        <v>170</v>
      </c>
      <c r="C5" s="37">
        <v>2565</v>
      </c>
      <c r="D5" s="37">
        <v>2735</v>
      </c>
    </row>
    <row r="6" spans="1:4" x14ac:dyDescent="0.25">
      <c r="A6" s="36" t="s">
        <v>507</v>
      </c>
      <c r="B6" s="37">
        <v>490</v>
      </c>
      <c r="C6" s="37">
        <v>11004</v>
      </c>
      <c r="D6" s="37">
        <v>11494</v>
      </c>
    </row>
    <row r="7" spans="1:4" x14ac:dyDescent="0.25">
      <c r="A7" s="36" t="s">
        <v>508</v>
      </c>
      <c r="B7" s="37">
        <v>1332</v>
      </c>
      <c r="C7" s="37">
        <v>3067</v>
      </c>
      <c r="D7" s="37">
        <v>4399</v>
      </c>
    </row>
    <row r="8" spans="1:4" x14ac:dyDescent="0.25">
      <c r="A8" s="36" t="s">
        <v>509</v>
      </c>
      <c r="B8" s="37">
        <v>747</v>
      </c>
      <c r="C8" s="37">
        <v>12572</v>
      </c>
      <c r="D8" s="37">
        <v>13319</v>
      </c>
    </row>
    <row r="9" spans="1:4" x14ac:dyDescent="0.25">
      <c r="A9" s="36" t="s">
        <v>183</v>
      </c>
      <c r="B9" s="37">
        <v>166</v>
      </c>
      <c r="C9" s="37">
        <v>1532</v>
      </c>
      <c r="D9" s="37">
        <v>1698</v>
      </c>
    </row>
    <row r="10" spans="1:4" x14ac:dyDescent="0.25">
      <c r="A10" s="42" t="s">
        <v>235</v>
      </c>
      <c r="B10" s="43">
        <v>89930</v>
      </c>
      <c r="C10" s="43">
        <v>406451</v>
      </c>
      <c r="D10" s="43">
        <v>496381</v>
      </c>
    </row>
    <row r="11" spans="1:4" x14ac:dyDescent="0.25">
      <c r="A11" s="76" t="s">
        <v>510</v>
      </c>
      <c r="B11" s="77"/>
      <c r="C11" s="77"/>
      <c r="D11" s="77"/>
    </row>
    <row r="12" spans="1:4" x14ac:dyDescent="0.25">
      <c r="A12" s="45"/>
      <c r="B12" s="33"/>
      <c r="C12" s="33"/>
      <c r="D12" s="33"/>
    </row>
    <row r="13" spans="1:4" x14ac:dyDescent="0.25">
      <c r="A13" s="33" t="s">
        <v>239</v>
      </c>
      <c r="B13" s="33"/>
      <c r="C13" s="33"/>
      <c r="D13" s="33"/>
    </row>
    <row r="14" spans="1:4" x14ac:dyDescent="0.25">
      <c r="A14" s="46" t="s">
        <v>212</v>
      </c>
      <c r="B14" s="33"/>
      <c r="C14" s="33"/>
      <c r="D14" s="33"/>
    </row>
    <row r="15" spans="1:4" x14ac:dyDescent="0.25">
      <c r="A15" s="33"/>
      <c r="B15" s="33"/>
      <c r="C15" s="33"/>
      <c r="D15" s="33"/>
    </row>
    <row r="16" spans="1:4" x14ac:dyDescent="0.25">
      <c r="A16" s="46" t="s">
        <v>70</v>
      </c>
      <c r="B16" s="33"/>
      <c r="C16" s="33"/>
      <c r="D16" s="33"/>
    </row>
    <row r="17" spans="1:4" x14ac:dyDescent="0.25">
      <c r="A17" s="33"/>
      <c r="B17" s="33"/>
      <c r="C17" s="33"/>
      <c r="D17" s="33"/>
    </row>
    <row r="18" spans="1:4" x14ac:dyDescent="0.25">
      <c r="A18" s="46" t="s">
        <v>240</v>
      </c>
      <c r="B18" s="33"/>
      <c r="C18" s="33"/>
      <c r="D18" s="33"/>
    </row>
  </sheetData>
  <mergeCells count="2">
    <mergeCell ref="A1:D1"/>
    <mergeCell ref="A11:D11"/>
  </mergeCells>
  <hyperlinks>
    <hyperlink ref="A14" r:id="rId1" xr:uid="{00000000-0004-0000-1C00-000000000000}"/>
    <hyperlink ref="A16" location="'Technical specifications'!A1" display="Technical specifications" xr:uid="{00000000-0004-0000-1C00-000001000000}"/>
    <hyperlink ref="A18" location="Contents!A1" display="Back to contents" xr:uid="{00000000-0004-0000-1C00-000002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15"/>
  <sheetViews>
    <sheetView workbookViewId="0">
      <selection sqref="A1:D1"/>
    </sheetView>
  </sheetViews>
  <sheetFormatPr defaultRowHeight="15" x14ac:dyDescent="0.25"/>
  <cols>
    <col min="1" max="1" width="35" customWidth="1"/>
    <col min="2" max="4" width="20" customWidth="1"/>
  </cols>
  <sheetData>
    <row r="1" spans="1:4" ht="33.75" customHeight="1" x14ac:dyDescent="0.25">
      <c r="A1" s="74" t="s">
        <v>29</v>
      </c>
      <c r="B1" s="75"/>
      <c r="C1" s="75"/>
      <c r="D1" s="75"/>
    </row>
    <row r="2" spans="1:4" x14ac:dyDescent="0.25">
      <c r="A2" s="34" t="s">
        <v>448</v>
      </c>
      <c r="B2" s="35" t="s">
        <v>224</v>
      </c>
      <c r="C2" s="35" t="s">
        <v>237</v>
      </c>
      <c r="D2" s="35" t="s">
        <v>238</v>
      </c>
    </row>
    <row r="3" spans="1:4" x14ac:dyDescent="0.25">
      <c r="A3" s="36" t="s">
        <v>449</v>
      </c>
      <c r="B3" s="37">
        <v>15081</v>
      </c>
      <c r="C3" s="37">
        <v>4916</v>
      </c>
      <c r="D3" s="37">
        <v>19997</v>
      </c>
    </row>
    <row r="4" spans="1:4" x14ac:dyDescent="0.25">
      <c r="A4" s="36" t="s">
        <v>450</v>
      </c>
      <c r="B4" s="37">
        <v>6663</v>
      </c>
      <c r="C4" s="37">
        <v>2305</v>
      </c>
      <c r="D4" s="37">
        <v>8968</v>
      </c>
    </row>
    <row r="5" spans="1:4" x14ac:dyDescent="0.25">
      <c r="A5" s="36" t="s">
        <v>451</v>
      </c>
      <c r="B5" s="37" t="s">
        <v>608</v>
      </c>
      <c r="C5" s="37" t="s">
        <v>608</v>
      </c>
      <c r="D5" s="37">
        <v>29626</v>
      </c>
    </row>
    <row r="6" spans="1:4" x14ac:dyDescent="0.25">
      <c r="A6" s="36" t="s">
        <v>452</v>
      </c>
      <c r="B6" s="37" t="s">
        <v>608</v>
      </c>
      <c r="C6" s="37" t="s">
        <v>608</v>
      </c>
      <c r="D6" s="37">
        <v>28</v>
      </c>
    </row>
    <row r="7" spans="1:4" x14ac:dyDescent="0.25">
      <c r="A7" s="42" t="s">
        <v>235</v>
      </c>
      <c r="B7" s="43">
        <v>50321</v>
      </c>
      <c r="C7" s="43">
        <v>8298</v>
      </c>
      <c r="D7" s="43">
        <v>58619</v>
      </c>
    </row>
    <row r="8" spans="1:4" ht="19.5" customHeight="1" x14ac:dyDescent="0.25">
      <c r="A8" s="76" t="s">
        <v>453</v>
      </c>
      <c r="B8" s="77"/>
      <c r="C8" s="77"/>
      <c r="D8" s="77"/>
    </row>
    <row r="9" spans="1:4" x14ac:dyDescent="0.25">
      <c r="A9" s="45"/>
      <c r="B9" s="33"/>
      <c r="C9" s="33"/>
      <c r="D9" s="33"/>
    </row>
    <row r="10" spans="1:4" x14ac:dyDescent="0.25">
      <c r="A10" s="33" t="s">
        <v>239</v>
      </c>
      <c r="B10" s="33"/>
      <c r="C10" s="33"/>
      <c r="D10" s="33"/>
    </row>
    <row r="11" spans="1:4" x14ac:dyDescent="0.25">
      <c r="A11" s="46" t="s">
        <v>212</v>
      </c>
      <c r="B11" s="33"/>
      <c r="C11" s="33"/>
      <c r="D11" s="33"/>
    </row>
    <row r="12" spans="1:4" x14ac:dyDescent="0.25">
      <c r="A12" s="33"/>
      <c r="B12" s="33"/>
      <c r="C12" s="33"/>
      <c r="D12" s="33"/>
    </row>
    <row r="13" spans="1:4" x14ac:dyDescent="0.25">
      <c r="A13" s="46" t="s">
        <v>70</v>
      </c>
      <c r="B13" s="33"/>
      <c r="C13" s="33"/>
      <c r="D13" s="33"/>
    </row>
    <row r="14" spans="1:4" x14ac:dyDescent="0.25">
      <c r="A14" s="33"/>
      <c r="B14" s="33"/>
      <c r="C14" s="33"/>
      <c r="D14" s="33"/>
    </row>
    <row r="15" spans="1:4" x14ac:dyDescent="0.25">
      <c r="A15" s="46" t="s">
        <v>240</v>
      </c>
      <c r="B15" s="33"/>
      <c r="C15" s="33"/>
      <c r="D15" s="33"/>
    </row>
  </sheetData>
  <mergeCells count="2">
    <mergeCell ref="A1:D1"/>
    <mergeCell ref="A8:D8"/>
  </mergeCells>
  <hyperlinks>
    <hyperlink ref="A11" r:id="rId1" xr:uid="{00000000-0004-0000-1D00-000000000000}"/>
    <hyperlink ref="A13" location="'Technical specifications'!A1" display="Technical specifications" xr:uid="{00000000-0004-0000-1D00-000001000000}"/>
    <hyperlink ref="A15" location="Contents!A1" display="Back to contents" xr:uid="{00000000-0004-0000-1D00-000002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4"/>
  <sheetViews>
    <sheetView workbookViewId="0">
      <selection sqref="A1:D1"/>
    </sheetView>
  </sheetViews>
  <sheetFormatPr defaultRowHeight="15" x14ac:dyDescent="0.25"/>
  <cols>
    <col min="1" max="4" width="20" customWidth="1"/>
  </cols>
  <sheetData>
    <row r="1" spans="1:4" ht="33.75" customHeight="1" x14ac:dyDescent="0.25">
      <c r="A1" s="74" t="s">
        <v>30</v>
      </c>
      <c r="B1" s="75"/>
      <c r="C1" s="75"/>
      <c r="D1" s="75"/>
    </row>
    <row r="2" spans="1:4" x14ac:dyDescent="0.25">
      <c r="A2" s="34" t="s">
        <v>454</v>
      </c>
      <c r="B2" s="35" t="s">
        <v>224</v>
      </c>
      <c r="C2" s="35" t="s">
        <v>237</v>
      </c>
      <c r="D2" s="35" t="s">
        <v>238</v>
      </c>
    </row>
    <row r="3" spans="1:4" x14ac:dyDescent="0.25">
      <c r="A3" s="36" t="s">
        <v>227</v>
      </c>
      <c r="B3" s="37">
        <v>7740</v>
      </c>
      <c r="C3" s="37">
        <v>751</v>
      </c>
      <c r="D3" s="37">
        <v>8491</v>
      </c>
    </row>
    <row r="4" spans="1:4" x14ac:dyDescent="0.25">
      <c r="A4" s="36" t="s">
        <v>455</v>
      </c>
      <c r="B4" s="37">
        <v>9265</v>
      </c>
      <c r="C4" s="37">
        <v>5984</v>
      </c>
      <c r="D4" s="37">
        <v>15249</v>
      </c>
    </row>
    <row r="5" spans="1:4" x14ac:dyDescent="0.25">
      <c r="A5" s="36" t="s">
        <v>456</v>
      </c>
      <c r="B5" s="37">
        <v>28881</v>
      </c>
      <c r="C5" s="37">
        <v>1563</v>
      </c>
      <c r="D5" s="37">
        <v>30444</v>
      </c>
    </row>
    <row r="6" spans="1:4" x14ac:dyDescent="0.25">
      <c r="A6" s="36" t="s">
        <v>452</v>
      </c>
      <c r="B6" s="37">
        <v>4435</v>
      </c>
      <c r="C6" s="38" t="s">
        <v>352</v>
      </c>
      <c r="D6" s="37">
        <v>4435</v>
      </c>
    </row>
    <row r="7" spans="1:4" x14ac:dyDescent="0.25">
      <c r="A7" s="42" t="s">
        <v>235</v>
      </c>
      <c r="B7" s="43">
        <v>50321</v>
      </c>
      <c r="C7" s="43">
        <v>8298</v>
      </c>
      <c r="D7" s="43">
        <v>58619</v>
      </c>
    </row>
    <row r="8" spans="1:4" x14ac:dyDescent="0.25">
      <c r="A8" s="45"/>
      <c r="B8" s="33"/>
      <c r="C8" s="33"/>
      <c r="D8" s="33"/>
    </row>
    <row r="9" spans="1:4" x14ac:dyDescent="0.25">
      <c r="A9" s="33" t="s">
        <v>239</v>
      </c>
      <c r="B9" s="33"/>
      <c r="C9" s="33"/>
      <c r="D9" s="33"/>
    </row>
    <row r="10" spans="1:4" x14ac:dyDescent="0.25">
      <c r="A10" s="46" t="s">
        <v>212</v>
      </c>
      <c r="B10" s="33"/>
      <c r="C10" s="33"/>
      <c r="D10" s="33"/>
    </row>
    <row r="11" spans="1:4" x14ac:dyDescent="0.25">
      <c r="A11" s="33"/>
      <c r="B11" s="33"/>
      <c r="C11" s="33"/>
      <c r="D11" s="33"/>
    </row>
    <row r="12" spans="1:4" x14ac:dyDescent="0.25">
      <c r="A12" s="46" t="s">
        <v>70</v>
      </c>
      <c r="B12" s="33"/>
      <c r="C12" s="33"/>
      <c r="D12" s="33"/>
    </row>
    <row r="13" spans="1:4" x14ac:dyDescent="0.25">
      <c r="A13" s="33"/>
      <c r="B13" s="33"/>
      <c r="C13" s="33"/>
      <c r="D13" s="33"/>
    </row>
    <row r="14" spans="1:4" x14ac:dyDescent="0.25">
      <c r="A14" s="46" t="s">
        <v>240</v>
      </c>
      <c r="B14" s="33"/>
      <c r="C14" s="33"/>
      <c r="D14" s="33"/>
    </row>
  </sheetData>
  <mergeCells count="1">
    <mergeCell ref="A1:D1"/>
  </mergeCells>
  <hyperlinks>
    <hyperlink ref="A10" r:id="rId1" xr:uid="{00000000-0004-0000-1E00-000000000000}"/>
    <hyperlink ref="A12" location="'Technical specifications'!A1" display="Technical specifications" xr:uid="{00000000-0004-0000-1E00-000001000000}"/>
    <hyperlink ref="A14" location="Contents!A1" display="Back to contents" xr:uid="{00000000-0004-0000-1E00-000002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2"/>
  <sheetViews>
    <sheetView workbookViewId="0">
      <selection sqref="A1:E1"/>
    </sheetView>
  </sheetViews>
  <sheetFormatPr defaultRowHeight="15" x14ac:dyDescent="0.25"/>
  <cols>
    <col min="1" max="1" width="55" customWidth="1"/>
    <col min="2" max="2" width="30" customWidth="1"/>
    <col min="3" max="5" width="20" customWidth="1"/>
  </cols>
  <sheetData>
    <row r="1" spans="1:5" ht="33.75" customHeight="1" x14ac:dyDescent="0.25">
      <c r="A1" s="74" t="s">
        <v>31</v>
      </c>
      <c r="B1" s="75"/>
      <c r="C1" s="75"/>
      <c r="D1" s="75"/>
      <c r="E1" s="75"/>
    </row>
    <row r="2" spans="1:5" x14ac:dyDescent="0.25">
      <c r="A2" s="34" t="s">
        <v>357</v>
      </c>
      <c r="B2" s="34" t="s">
        <v>242</v>
      </c>
      <c r="C2" s="35" t="s">
        <v>224</v>
      </c>
      <c r="D2" s="35" t="s">
        <v>237</v>
      </c>
      <c r="E2" s="35" t="s">
        <v>238</v>
      </c>
    </row>
    <row r="3" spans="1:5" x14ac:dyDescent="0.25">
      <c r="A3" s="36" t="s">
        <v>511</v>
      </c>
      <c r="B3" s="36" t="s">
        <v>512</v>
      </c>
      <c r="C3" s="37">
        <v>3597</v>
      </c>
      <c r="D3" s="37">
        <v>745</v>
      </c>
      <c r="E3" s="37">
        <v>4342</v>
      </c>
    </row>
    <row r="4" spans="1:5" x14ac:dyDescent="0.25">
      <c r="A4" s="36" t="s">
        <v>513</v>
      </c>
      <c r="B4" s="36" t="s">
        <v>512</v>
      </c>
      <c r="C4" s="37">
        <v>1660</v>
      </c>
      <c r="D4" s="37">
        <v>552</v>
      </c>
      <c r="E4" s="37">
        <v>2212</v>
      </c>
    </row>
    <row r="5" spans="1:5" x14ac:dyDescent="0.25">
      <c r="A5" s="36" t="s">
        <v>514</v>
      </c>
      <c r="B5" s="36" t="s">
        <v>512</v>
      </c>
      <c r="C5" s="37">
        <v>1906</v>
      </c>
      <c r="D5" s="37">
        <v>304</v>
      </c>
      <c r="E5" s="37">
        <v>2210</v>
      </c>
    </row>
    <row r="6" spans="1:5" x14ac:dyDescent="0.25">
      <c r="A6" s="36" t="s">
        <v>515</v>
      </c>
      <c r="B6" s="36" t="s">
        <v>512</v>
      </c>
      <c r="C6" s="37">
        <v>1794</v>
      </c>
      <c r="D6" s="37">
        <v>225</v>
      </c>
      <c r="E6" s="37">
        <v>2019</v>
      </c>
    </row>
    <row r="7" spans="1:5" x14ac:dyDescent="0.25">
      <c r="A7" s="36" t="s">
        <v>516</v>
      </c>
      <c r="B7" s="36" t="s">
        <v>512</v>
      </c>
      <c r="C7" s="37">
        <v>994</v>
      </c>
      <c r="D7" s="37">
        <v>364</v>
      </c>
      <c r="E7" s="37">
        <v>1358</v>
      </c>
    </row>
    <row r="8" spans="1:5" x14ac:dyDescent="0.25">
      <c r="A8" s="36" t="s">
        <v>183</v>
      </c>
      <c r="B8" s="36" t="s">
        <v>512</v>
      </c>
      <c r="C8" s="37">
        <v>11988</v>
      </c>
      <c r="D8" s="37">
        <v>3526</v>
      </c>
      <c r="E8" s="37">
        <v>15514</v>
      </c>
    </row>
    <row r="9" spans="1:5" x14ac:dyDescent="0.25">
      <c r="A9" s="36" t="s">
        <v>517</v>
      </c>
      <c r="B9" s="36" t="s">
        <v>518</v>
      </c>
      <c r="C9" s="37">
        <v>1892</v>
      </c>
      <c r="D9" s="37">
        <v>85</v>
      </c>
      <c r="E9" s="37">
        <v>1977</v>
      </c>
    </row>
    <row r="10" spans="1:5" x14ac:dyDescent="0.25">
      <c r="A10" s="36" t="s">
        <v>519</v>
      </c>
      <c r="B10" s="36" t="s">
        <v>518</v>
      </c>
      <c r="C10" s="37">
        <v>1905</v>
      </c>
      <c r="D10" s="37">
        <v>66</v>
      </c>
      <c r="E10" s="37">
        <v>1971</v>
      </c>
    </row>
    <row r="11" spans="1:5" x14ac:dyDescent="0.25">
      <c r="A11" s="36" t="s">
        <v>520</v>
      </c>
      <c r="B11" s="36" t="s">
        <v>518</v>
      </c>
      <c r="C11" s="37">
        <v>1666</v>
      </c>
      <c r="D11" s="37">
        <v>174</v>
      </c>
      <c r="E11" s="37">
        <v>1840</v>
      </c>
    </row>
    <row r="12" spans="1:5" x14ac:dyDescent="0.25">
      <c r="A12" s="36" t="s">
        <v>521</v>
      </c>
      <c r="B12" s="36" t="s">
        <v>518</v>
      </c>
      <c r="C12" s="37">
        <v>1504</v>
      </c>
      <c r="D12" s="37">
        <v>133</v>
      </c>
      <c r="E12" s="37">
        <v>1637</v>
      </c>
    </row>
    <row r="13" spans="1:5" x14ac:dyDescent="0.25">
      <c r="A13" s="36" t="s">
        <v>480</v>
      </c>
      <c r="B13" s="36" t="s">
        <v>518</v>
      </c>
      <c r="C13" s="37">
        <v>1327</v>
      </c>
      <c r="D13" s="37">
        <v>40</v>
      </c>
      <c r="E13" s="37">
        <v>1367</v>
      </c>
    </row>
    <row r="14" spans="1:5" x14ac:dyDescent="0.25">
      <c r="A14" s="36" t="s">
        <v>183</v>
      </c>
      <c r="B14" s="36" t="s">
        <v>518</v>
      </c>
      <c r="C14" s="37">
        <v>20077</v>
      </c>
      <c r="D14" s="37">
        <v>2084</v>
      </c>
      <c r="E14" s="37">
        <v>22161</v>
      </c>
    </row>
    <row r="15" spans="1:5" x14ac:dyDescent="0.25">
      <c r="A15" s="42" t="s">
        <v>235</v>
      </c>
      <c r="B15" s="42" t="s">
        <v>522</v>
      </c>
      <c r="C15" s="43">
        <v>50310</v>
      </c>
      <c r="D15" s="43">
        <v>8298</v>
      </c>
      <c r="E15" s="43">
        <v>58608</v>
      </c>
    </row>
    <row r="16" spans="1:5" x14ac:dyDescent="0.25">
      <c r="A16" s="45"/>
      <c r="B16" s="33"/>
      <c r="C16" s="33"/>
      <c r="D16" s="33"/>
      <c r="E16" s="33"/>
    </row>
    <row r="17" spans="1:5" x14ac:dyDescent="0.25">
      <c r="A17" s="33" t="s">
        <v>239</v>
      </c>
      <c r="B17" s="33"/>
      <c r="C17" s="33"/>
      <c r="D17" s="33"/>
      <c r="E17" s="33"/>
    </row>
    <row r="18" spans="1:5" x14ac:dyDescent="0.25">
      <c r="A18" s="46" t="s">
        <v>212</v>
      </c>
      <c r="B18" s="33"/>
      <c r="C18" s="33"/>
      <c r="D18" s="33"/>
      <c r="E18" s="33"/>
    </row>
    <row r="19" spans="1:5" x14ac:dyDescent="0.25">
      <c r="A19" s="33"/>
      <c r="B19" s="33"/>
      <c r="C19" s="33"/>
      <c r="D19" s="33"/>
      <c r="E19" s="33"/>
    </row>
    <row r="20" spans="1:5" x14ac:dyDescent="0.25">
      <c r="A20" s="46" t="s">
        <v>70</v>
      </c>
      <c r="B20" s="33"/>
      <c r="C20" s="33"/>
      <c r="D20" s="33"/>
      <c r="E20" s="33"/>
    </row>
    <row r="21" spans="1:5" x14ac:dyDescent="0.25">
      <c r="A21" s="33"/>
      <c r="B21" s="33"/>
      <c r="C21" s="33"/>
      <c r="D21" s="33"/>
      <c r="E21" s="33"/>
    </row>
    <row r="22" spans="1:5" x14ac:dyDescent="0.25">
      <c r="A22" s="46" t="s">
        <v>240</v>
      </c>
      <c r="B22" s="33"/>
      <c r="C22" s="33"/>
      <c r="D22" s="33"/>
      <c r="E22" s="33"/>
    </row>
  </sheetData>
  <mergeCells count="1">
    <mergeCell ref="A1:E1"/>
  </mergeCells>
  <hyperlinks>
    <hyperlink ref="A18" r:id="rId1" xr:uid="{00000000-0004-0000-1F00-000000000000}"/>
    <hyperlink ref="A20" location="'Technical specifications'!A1" display="Technical specifications" xr:uid="{00000000-0004-0000-1F00-000001000000}"/>
    <hyperlink ref="A22" location="Contents!A1" display="Back to contents" xr:uid="{00000000-0004-0000-1F00-000002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23"/>
  <sheetViews>
    <sheetView workbookViewId="0">
      <selection sqref="A1:E1"/>
    </sheetView>
  </sheetViews>
  <sheetFormatPr defaultRowHeight="15" x14ac:dyDescent="0.25"/>
  <cols>
    <col min="1" max="1" width="45" customWidth="1"/>
    <col min="2" max="2" width="28" customWidth="1"/>
    <col min="3" max="5" width="20" customWidth="1"/>
  </cols>
  <sheetData>
    <row r="1" spans="1:5" ht="33.75" customHeight="1" x14ac:dyDescent="0.25">
      <c r="A1" s="74" t="s">
        <v>32</v>
      </c>
      <c r="B1" s="75"/>
      <c r="C1" s="75"/>
      <c r="D1" s="75"/>
      <c r="E1" s="75"/>
    </row>
    <row r="2" spans="1:5" x14ac:dyDescent="0.25">
      <c r="A2" s="34" t="s">
        <v>383</v>
      </c>
      <c r="B2" s="34" t="s">
        <v>242</v>
      </c>
      <c r="C2" s="35" t="s">
        <v>224</v>
      </c>
      <c r="D2" s="35" t="s">
        <v>237</v>
      </c>
      <c r="E2" s="35" t="s">
        <v>238</v>
      </c>
    </row>
    <row r="3" spans="1:5" x14ac:dyDescent="0.25">
      <c r="A3" s="36" t="s">
        <v>390</v>
      </c>
      <c r="B3" s="36" t="s">
        <v>385</v>
      </c>
      <c r="C3" s="37">
        <v>20983</v>
      </c>
      <c r="D3" s="37">
        <v>1847</v>
      </c>
      <c r="E3" s="37">
        <v>22830</v>
      </c>
    </row>
    <row r="4" spans="1:5" x14ac:dyDescent="0.25">
      <c r="A4" s="36" t="s">
        <v>392</v>
      </c>
      <c r="B4" s="36" t="s">
        <v>385</v>
      </c>
      <c r="C4" s="37">
        <v>16728</v>
      </c>
      <c r="D4" s="37">
        <v>1963</v>
      </c>
      <c r="E4" s="37">
        <v>18691</v>
      </c>
    </row>
    <row r="5" spans="1:5" x14ac:dyDescent="0.25">
      <c r="A5" s="36" t="s">
        <v>496</v>
      </c>
      <c r="B5" s="36" t="s">
        <v>385</v>
      </c>
      <c r="C5" s="37">
        <v>13125</v>
      </c>
      <c r="D5" s="37">
        <v>1336</v>
      </c>
      <c r="E5" s="37">
        <v>14461</v>
      </c>
    </row>
    <row r="6" spans="1:5" x14ac:dyDescent="0.25">
      <c r="A6" s="36" t="s">
        <v>391</v>
      </c>
      <c r="B6" s="36" t="s">
        <v>385</v>
      </c>
      <c r="C6" s="37">
        <v>12020</v>
      </c>
      <c r="D6" s="37">
        <v>663</v>
      </c>
      <c r="E6" s="37">
        <v>12683</v>
      </c>
    </row>
    <row r="7" spans="1:5" x14ac:dyDescent="0.25">
      <c r="A7" s="36" t="s">
        <v>499</v>
      </c>
      <c r="B7" s="36" t="s">
        <v>385</v>
      </c>
      <c r="C7" s="37">
        <v>10280</v>
      </c>
      <c r="D7" s="37">
        <v>743</v>
      </c>
      <c r="E7" s="37">
        <v>11023</v>
      </c>
    </row>
    <row r="8" spans="1:5" x14ac:dyDescent="0.25">
      <c r="A8" s="36" t="s">
        <v>500</v>
      </c>
      <c r="B8" s="36" t="s">
        <v>385</v>
      </c>
      <c r="C8" s="37">
        <v>8351</v>
      </c>
      <c r="D8" s="37">
        <v>420</v>
      </c>
      <c r="E8" s="37">
        <v>8771</v>
      </c>
    </row>
    <row r="9" spans="1:5" x14ac:dyDescent="0.25">
      <c r="A9" s="36" t="s">
        <v>523</v>
      </c>
      <c r="B9" s="36" t="s">
        <v>385</v>
      </c>
      <c r="C9" s="37">
        <v>5974</v>
      </c>
      <c r="D9" s="37">
        <v>784</v>
      </c>
      <c r="E9" s="37">
        <v>6758</v>
      </c>
    </row>
    <row r="10" spans="1:5" x14ac:dyDescent="0.25">
      <c r="A10" s="36" t="s">
        <v>524</v>
      </c>
      <c r="B10" s="36" t="s">
        <v>385</v>
      </c>
      <c r="C10" s="37">
        <v>3398</v>
      </c>
      <c r="D10" s="37">
        <v>8</v>
      </c>
      <c r="E10" s="37">
        <v>3406</v>
      </c>
    </row>
    <row r="11" spans="1:5" x14ac:dyDescent="0.25">
      <c r="A11" s="36" t="s">
        <v>525</v>
      </c>
      <c r="B11" s="36" t="s">
        <v>385</v>
      </c>
      <c r="C11" s="37">
        <v>904</v>
      </c>
      <c r="D11" s="37">
        <v>1824</v>
      </c>
      <c r="E11" s="37">
        <v>2728</v>
      </c>
    </row>
    <row r="12" spans="1:5" x14ac:dyDescent="0.25">
      <c r="A12" s="36" t="s">
        <v>502</v>
      </c>
      <c r="B12" s="36" t="s">
        <v>385</v>
      </c>
      <c r="C12" s="37">
        <v>1526</v>
      </c>
      <c r="D12" s="37">
        <v>96</v>
      </c>
      <c r="E12" s="37">
        <v>1622</v>
      </c>
    </row>
    <row r="13" spans="1:5" x14ac:dyDescent="0.25">
      <c r="A13" s="36" t="s">
        <v>183</v>
      </c>
      <c r="B13" s="36" t="s">
        <v>385</v>
      </c>
      <c r="C13" s="37">
        <v>12156</v>
      </c>
      <c r="D13" s="37">
        <v>2765</v>
      </c>
      <c r="E13" s="37">
        <v>14921</v>
      </c>
    </row>
    <row r="14" spans="1:5" x14ac:dyDescent="0.25">
      <c r="A14" s="47" t="s">
        <v>235</v>
      </c>
      <c r="B14" s="47" t="s">
        <v>385</v>
      </c>
      <c r="C14" s="48">
        <v>105445</v>
      </c>
      <c r="D14" s="48">
        <v>12449</v>
      </c>
      <c r="E14" s="48">
        <v>117894</v>
      </c>
    </row>
    <row r="15" spans="1:5" x14ac:dyDescent="0.25">
      <c r="A15" s="52"/>
      <c r="B15" s="52" t="s">
        <v>395</v>
      </c>
      <c r="C15" s="53">
        <v>12982</v>
      </c>
      <c r="D15" s="53">
        <v>3614</v>
      </c>
      <c r="E15" s="53">
        <v>16596</v>
      </c>
    </row>
    <row r="16" spans="1:5" x14ac:dyDescent="0.25">
      <c r="A16" s="76" t="s">
        <v>526</v>
      </c>
      <c r="B16" s="77"/>
      <c r="C16" s="77"/>
      <c r="D16" s="77"/>
      <c r="E16" s="77"/>
    </row>
    <row r="17" spans="1:5" x14ac:dyDescent="0.25">
      <c r="A17" s="45"/>
      <c r="B17" s="33"/>
      <c r="C17" s="33"/>
      <c r="D17" s="33"/>
      <c r="E17" s="33"/>
    </row>
    <row r="18" spans="1:5" x14ac:dyDescent="0.25">
      <c r="A18" s="33" t="s">
        <v>239</v>
      </c>
      <c r="B18" s="33"/>
      <c r="C18" s="33"/>
      <c r="D18" s="33"/>
      <c r="E18" s="33"/>
    </row>
    <row r="19" spans="1:5" x14ac:dyDescent="0.25">
      <c r="A19" s="46" t="s">
        <v>212</v>
      </c>
      <c r="B19" s="33"/>
      <c r="C19" s="33"/>
      <c r="D19" s="33"/>
      <c r="E19" s="33"/>
    </row>
    <row r="20" spans="1:5" x14ac:dyDescent="0.25">
      <c r="A20" s="33"/>
      <c r="B20" s="33"/>
      <c r="C20" s="33"/>
      <c r="D20" s="33"/>
      <c r="E20" s="33"/>
    </row>
    <row r="21" spans="1:5" x14ac:dyDescent="0.25">
      <c r="A21" s="46" t="s">
        <v>70</v>
      </c>
      <c r="B21" s="33"/>
      <c r="C21" s="33"/>
      <c r="D21" s="33"/>
      <c r="E21" s="33"/>
    </row>
    <row r="22" spans="1:5" x14ac:dyDescent="0.25">
      <c r="A22" s="33"/>
      <c r="B22" s="33"/>
      <c r="C22" s="33"/>
      <c r="D22" s="33"/>
      <c r="E22" s="33"/>
    </row>
    <row r="23" spans="1:5" x14ac:dyDescent="0.25">
      <c r="A23" s="46" t="s">
        <v>240</v>
      </c>
      <c r="B23" s="33"/>
      <c r="C23" s="33"/>
      <c r="D23" s="33"/>
      <c r="E23" s="33"/>
    </row>
  </sheetData>
  <mergeCells count="2">
    <mergeCell ref="A16:E16"/>
    <mergeCell ref="A1:E1"/>
  </mergeCells>
  <hyperlinks>
    <hyperlink ref="A19" r:id="rId1" xr:uid="{00000000-0004-0000-2000-000000000000}"/>
    <hyperlink ref="A21" location="'Technical specifications'!A1" display="Technical specifications" xr:uid="{00000000-0004-0000-2000-000001000000}"/>
    <hyperlink ref="A23" location="Contents!A1" display="Back to contents" xr:uid="{00000000-0004-0000-2000-000002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18"/>
  <sheetViews>
    <sheetView workbookViewId="0">
      <selection sqref="A1:D1"/>
    </sheetView>
  </sheetViews>
  <sheetFormatPr defaultRowHeight="15" x14ac:dyDescent="0.25"/>
  <cols>
    <col min="1" max="1" width="30" customWidth="1"/>
    <col min="2" max="4" width="20" customWidth="1"/>
  </cols>
  <sheetData>
    <row r="1" spans="1:4" ht="33.75" customHeight="1" x14ac:dyDescent="0.25">
      <c r="A1" s="74" t="s">
        <v>33</v>
      </c>
      <c r="B1" s="75"/>
      <c r="C1" s="75"/>
      <c r="D1" s="75"/>
    </row>
    <row r="2" spans="1:4" x14ac:dyDescent="0.25">
      <c r="A2" s="34" t="s">
        <v>409</v>
      </c>
      <c r="B2" s="35" t="s">
        <v>224</v>
      </c>
      <c r="C2" s="35" t="s">
        <v>237</v>
      </c>
      <c r="D2" s="35" t="s">
        <v>238</v>
      </c>
    </row>
    <row r="3" spans="1:4" x14ac:dyDescent="0.25">
      <c r="A3" s="36" t="s">
        <v>410</v>
      </c>
      <c r="B3" s="37">
        <v>40414</v>
      </c>
      <c r="C3" s="37">
        <v>2555</v>
      </c>
      <c r="D3" s="37">
        <v>42969</v>
      </c>
    </row>
    <row r="4" spans="1:4" x14ac:dyDescent="0.25">
      <c r="A4" s="36" t="s">
        <v>411</v>
      </c>
      <c r="B4" s="37">
        <v>8749</v>
      </c>
      <c r="C4" s="37">
        <v>5256</v>
      </c>
      <c r="D4" s="37">
        <v>14005</v>
      </c>
    </row>
    <row r="5" spans="1:4" x14ac:dyDescent="0.25">
      <c r="A5" s="36" t="s">
        <v>412</v>
      </c>
      <c r="B5" s="37">
        <v>86</v>
      </c>
      <c r="C5" s="37">
        <v>7</v>
      </c>
      <c r="D5" s="37">
        <v>93</v>
      </c>
    </row>
    <row r="6" spans="1:4" x14ac:dyDescent="0.25">
      <c r="A6" s="36" t="s">
        <v>507</v>
      </c>
      <c r="B6" s="37">
        <v>22</v>
      </c>
      <c r="C6" s="37">
        <v>5</v>
      </c>
      <c r="D6" s="37">
        <v>27</v>
      </c>
    </row>
    <row r="7" spans="1:4" x14ac:dyDescent="0.25">
      <c r="A7" s="36" t="s">
        <v>508</v>
      </c>
      <c r="B7" s="37">
        <v>28</v>
      </c>
      <c r="C7" s="38" t="s">
        <v>352</v>
      </c>
      <c r="D7" s="37">
        <v>28</v>
      </c>
    </row>
    <row r="8" spans="1:4" x14ac:dyDescent="0.25">
      <c r="A8" s="36" t="s">
        <v>509</v>
      </c>
      <c r="B8" s="37">
        <v>937</v>
      </c>
      <c r="C8" s="37">
        <v>151</v>
      </c>
      <c r="D8" s="37">
        <v>1088</v>
      </c>
    </row>
    <row r="9" spans="1:4" x14ac:dyDescent="0.25">
      <c r="A9" s="36" t="s">
        <v>183</v>
      </c>
      <c r="B9" s="37">
        <v>85</v>
      </c>
      <c r="C9" s="37">
        <v>324</v>
      </c>
      <c r="D9" s="37">
        <v>409</v>
      </c>
    </row>
    <row r="10" spans="1:4" x14ac:dyDescent="0.25">
      <c r="A10" s="42" t="s">
        <v>235</v>
      </c>
      <c r="B10" s="43">
        <v>50321</v>
      </c>
      <c r="C10" s="43">
        <v>8298</v>
      </c>
      <c r="D10" s="43">
        <v>58619</v>
      </c>
    </row>
    <row r="11" spans="1:4" x14ac:dyDescent="0.25">
      <c r="A11" s="76" t="s">
        <v>510</v>
      </c>
      <c r="B11" s="77"/>
      <c r="C11" s="77"/>
      <c r="D11" s="77"/>
    </row>
    <row r="12" spans="1:4" x14ac:dyDescent="0.25">
      <c r="A12" s="45"/>
      <c r="B12" s="33"/>
      <c r="C12" s="33"/>
      <c r="D12" s="33"/>
    </row>
    <row r="13" spans="1:4" x14ac:dyDescent="0.25">
      <c r="A13" s="33" t="s">
        <v>239</v>
      </c>
      <c r="B13" s="33"/>
      <c r="C13" s="33"/>
      <c r="D13" s="33"/>
    </row>
    <row r="14" spans="1:4" x14ac:dyDescent="0.25">
      <c r="A14" s="46" t="s">
        <v>212</v>
      </c>
      <c r="B14" s="33"/>
      <c r="C14" s="33"/>
      <c r="D14" s="33"/>
    </row>
    <row r="15" spans="1:4" x14ac:dyDescent="0.25">
      <c r="A15" s="33"/>
      <c r="B15" s="33"/>
      <c r="C15" s="33"/>
      <c r="D15" s="33"/>
    </row>
    <row r="16" spans="1:4" x14ac:dyDescent="0.25">
      <c r="A16" s="46" t="s">
        <v>70</v>
      </c>
      <c r="B16" s="33"/>
      <c r="C16" s="33"/>
      <c r="D16" s="33"/>
    </row>
    <row r="17" spans="1:4" x14ac:dyDescent="0.25">
      <c r="A17" s="33"/>
      <c r="B17" s="33"/>
      <c r="C17" s="33"/>
      <c r="D17" s="33"/>
    </row>
    <row r="18" spans="1:4" x14ac:dyDescent="0.25">
      <c r="A18" s="46" t="s">
        <v>240</v>
      </c>
      <c r="B18" s="33"/>
      <c r="C18" s="33"/>
      <c r="D18" s="33"/>
    </row>
  </sheetData>
  <mergeCells count="2">
    <mergeCell ref="A1:D1"/>
    <mergeCell ref="A11:D11"/>
  </mergeCells>
  <hyperlinks>
    <hyperlink ref="A14" r:id="rId1" xr:uid="{00000000-0004-0000-2100-000000000000}"/>
    <hyperlink ref="A16" location="'Technical specifications'!A1" display="Technical specifications" xr:uid="{00000000-0004-0000-2100-000001000000}"/>
    <hyperlink ref="A18" location="Contents!A1" display="Back to contents" xr:uid="{00000000-0004-0000-2100-000002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21"/>
  <sheetViews>
    <sheetView workbookViewId="0">
      <selection sqref="A1:D1"/>
    </sheetView>
  </sheetViews>
  <sheetFormatPr defaultRowHeight="15" x14ac:dyDescent="0.25"/>
  <cols>
    <col min="1" max="1" width="70" customWidth="1"/>
    <col min="2" max="4" width="20" customWidth="1"/>
  </cols>
  <sheetData>
    <row r="1" spans="1:4" ht="33.75" customHeight="1" x14ac:dyDescent="0.25">
      <c r="A1" s="74" t="s">
        <v>34</v>
      </c>
      <c r="B1" s="75"/>
      <c r="C1" s="75"/>
      <c r="D1" s="75"/>
    </row>
    <row r="2" spans="1:4" x14ac:dyDescent="0.25">
      <c r="A2" s="34" t="s">
        <v>400</v>
      </c>
      <c r="B2" s="35" t="s">
        <v>224</v>
      </c>
      <c r="C2" s="35" t="s">
        <v>237</v>
      </c>
      <c r="D2" s="35" t="s">
        <v>238</v>
      </c>
    </row>
    <row r="3" spans="1:4" x14ac:dyDescent="0.25">
      <c r="A3" s="36" t="s">
        <v>401</v>
      </c>
      <c r="B3" s="37">
        <v>7621</v>
      </c>
      <c r="C3" s="37">
        <v>3505</v>
      </c>
      <c r="D3" s="37">
        <v>11126</v>
      </c>
    </row>
    <row r="4" spans="1:4" x14ac:dyDescent="0.25">
      <c r="A4" s="36" t="s">
        <v>402</v>
      </c>
      <c r="B4" s="37">
        <v>2844</v>
      </c>
      <c r="C4" s="37">
        <v>146</v>
      </c>
      <c r="D4" s="37">
        <v>2990</v>
      </c>
    </row>
    <row r="5" spans="1:4" x14ac:dyDescent="0.25">
      <c r="A5" s="36" t="s">
        <v>503</v>
      </c>
      <c r="B5" s="37">
        <v>992</v>
      </c>
      <c r="C5" s="37">
        <v>133</v>
      </c>
      <c r="D5" s="37">
        <v>1125</v>
      </c>
    </row>
    <row r="6" spans="1:4" x14ac:dyDescent="0.25">
      <c r="A6" s="36" t="s">
        <v>504</v>
      </c>
      <c r="B6" s="37">
        <v>782</v>
      </c>
      <c r="C6" s="37">
        <v>82</v>
      </c>
      <c r="D6" s="37">
        <v>864</v>
      </c>
    </row>
    <row r="7" spans="1:4" x14ac:dyDescent="0.25">
      <c r="A7" s="36" t="s">
        <v>505</v>
      </c>
      <c r="B7" s="37" t="s">
        <v>608</v>
      </c>
      <c r="C7" s="37" t="s">
        <v>608</v>
      </c>
      <c r="D7" s="37">
        <v>1</v>
      </c>
    </row>
    <row r="8" spans="1:4" x14ac:dyDescent="0.25">
      <c r="A8" s="36" t="s">
        <v>403</v>
      </c>
      <c r="B8" s="37">
        <v>296</v>
      </c>
      <c r="C8" s="37">
        <v>4</v>
      </c>
      <c r="D8" s="37">
        <v>300</v>
      </c>
    </row>
    <row r="9" spans="1:4" x14ac:dyDescent="0.25">
      <c r="A9" s="36" t="s">
        <v>404</v>
      </c>
      <c r="B9" s="37">
        <v>1097</v>
      </c>
      <c r="C9" s="37">
        <v>237</v>
      </c>
      <c r="D9" s="37">
        <v>1334</v>
      </c>
    </row>
    <row r="10" spans="1:4" x14ac:dyDescent="0.25">
      <c r="A10" s="36" t="s">
        <v>405</v>
      </c>
      <c r="B10" s="37">
        <v>153</v>
      </c>
      <c r="C10" s="37">
        <v>7</v>
      </c>
      <c r="D10" s="37">
        <v>160</v>
      </c>
    </row>
    <row r="11" spans="1:4" x14ac:dyDescent="0.25">
      <c r="A11" s="36" t="s">
        <v>506</v>
      </c>
      <c r="B11" s="37" t="s">
        <v>608</v>
      </c>
      <c r="C11" s="37" t="s">
        <v>608</v>
      </c>
      <c r="D11" s="37">
        <v>46</v>
      </c>
    </row>
    <row r="12" spans="1:4" x14ac:dyDescent="0.25">
      <c r="A12" s="36" t="s">
        <v>406</v>
      </c>
      <c r="B12" s="37">
        <v>36492</v>
      </c>
      <c r="C12" s="37">
        <v>4181</v>
      </c>
      <c r="D12" s="37">
        <v>40673</v>
      </c>
    </row>
    <row r="13" spans="1:4" x14ac:dyDescent="0.25">
      <c r="A13" s="42" t="s">
        <v>235</v>
      </c>
      <c r="B13" s="43">
        <v>50321</v>
      </c>
      <c r="C13" s="43">
        <v>8298</v>
      </c>
      <c r="D13" s="43">
        <v>58619</v>
      </c>
    </row>
    <row r="14" spans="1:4" ht="22.5" customHeight="1" x14ac:dyDescent="0.25">
      <c r="A14" s="76" t="s">
        <v>407</v>
      </c>
      <c r="B14" s="77"/>
      <c r="C14" s="77"/>
      <c r="D14" s="77"/>
    </row>
    <row r="15" spans="1:4" x14ac:dyDescent="0.25">
      <c r="A15" s="45"/>
      <c r="B15" s="33"/>
      <c r="C15" s="33"/>
      <c r="D15" s="33"/>
    </row>
    <row r="16" spans="1:4" x14ac:dyDescent="0.25">
      <c r="A16" s="33" t="s">
        <v>239</v>
      </c>
      <c r="B16" s="33"/>
      <c r="C16" s="33"/>
      <c r="D16" s="33"/>
    </row>
    <row r="17" spans="1:4" x14ac:dyDescent="0.25">
      <c r="A17" s="46" t="s">
        <v>212</v>
      </c>
      <c r="B17" s="33"/>
      <c r="C17" s="33"/>
      <c r="D17" s="33"/>
    </row>
    <row r="18" spans="1:4" x14ac:dyDescent="0.25">
      <c r="A18" s="33"/>
      <c r="B18" s="33"/>
      <c r="C18" s="33"/>
      <c r="D18" s="33"/>
    </row>
    <row r="19" spans="1:4" x14ac:dyDescent="0.25">
      <c r="A19" s="46" t="s">
        <v>70</v>
      </c>
      <c r="B19" s="33"/>
      <c r="C19" s="33"/>
      <c r="D19" s="33"/>
    </row>
    <row r="20" spans="1:4" x14ac:dyDescent="0.25">
      <c r="A20" s="33"/>
      <c r="B20" s="33"/>
      <c r="C20" s="33"/>
      <c r="D20" s="33"/>
    </row>
    <row r="21" spans="1:4" x14ac:dyDescent="0.25">
      <c r="A21" s="46" t="s">
        <v>240</v>
      </c>
      <c r="B21" s="33"/>
      <c r="C21" s="33"/>
      <c r="D21" s="33"/>
    </row>
  </sheetData>
  <mergeCells count="2">
    <mergeCell ref="A1:D1"/>
    <mergeCell ref="A14:D14"/>
  </mergeCells>
  <hyperlinks>
    <hyperlink ref="A17" r:id="rId1" xr:uid="{00000000-0004-0000-2200-000000000000}"/>
    <hyperlink ref="A19" location="'Technical specifications'!A1" display="Technical specifications" xr:uid="{00000000-0004-0000-2200-000001000000}"/>
    <hyperlink ref="A21" location="Contents!A1" display="Back to contents" xr:uid="{00000000-0004-0000-2200-000002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32"/>
  <sheetViews>
    <sheetView workbookViewId="0">
      <selection sqref="A1:D1"/>
    </sheetView>
  </sheetViews>
  <sheetFormatPr defaultRowHeight="15" x14ac:dyDescent="0.25"/>
  <cols>
    <col min="1" max="1" width="17" customWidth="1"/>
    <col min="2" max="4" width="12" customWidth="1"/>
  </cols>
  <sheetData>
    <row r="1" spans="1:4" ht="33.75" customHeight="1" x14ac:dyDescent="0.25">
      <c r="A1" s="74" t="s">
        <v>35</v>
      </c>
      <c r="B1" s="75"/>
      <c r="C1" s="75"/>
      <c r="D1" s="75"/>
    </row>
    <row r="2" spans="1:4" x14ac:dyDescent="0.25">
      <c r="A2" s="34" t="s">
        <v>415</v>
      </c>
      <c r="B2" s="35" t="s">
        <v>416</v>
      </c>
      <c r="C2" s="35" t="s">
        <v>417</v>
      </c>
      <c r="D2" s="35" t="s">
        <v>418</v>
      </c>
    </row>
    <row r="3" spans="1:4" x14ac:dyDescent="0.25">
      <c r="A3" s="36" t="s">
        <v>419</v>
      </c>
      <c r="B3" s="37">
        <v>13</v>
      </c>
      <c r="C3" s="37">
        <v>10</v>
      </c>
      <c r="D3" s="37">
        <v>23</v>
      </c>
    </row>
    <row r="4" spans="1:4" x14ac:dyDescent="0.25">
      <c r="A4" s="36" t="s">
        <v>420</v>
      </c>
      <c r="B4" s="37">
        <v>128</v>
      </c>
      <c r="C4" s="37">
        <v>68</v>
      </c>
      <c r="D4" s="37">
        <v>196</v>
      </c>
    </row>
    <row r="5" spans="1:4" x14ac:dyDescent="0.25">
      <c r="A5" s="36" t="s">
        <v>421</v>
      </c>
      <c r="B5" s="37">
        <v>672</v>
      </c>
      <c r="C5" s="37">
        <v>2615</v>
      </c>
      <c r="D5" s="37">
        <v>3297</v>
      </c>
    </row>
    <row r="6" spans="1:4" x14ac:dyDescent="0.25">
      <c r="A6" s="36" t="s">
        <v>422</v>
      </c>
      <c r="B6" s="37">
        <v>5236</v>
      </c>
      <c r="C6" s="37">
        <v>13299</v>
      </c>
      <c r="D6" s="37">
        <v>18579</v>
      </c>
    </row>
    <row r="7" spans="1:4" x14ac:dyDescent="0.25">
      <c r="A7" s="36" t="s">
        <v>423</v>
      </c>
      <c r="B7" s="37">
        <v>11295</v>
      </c>
      <c r="C7" s="37">
        <v>18427</v>
      </c>
      <c r="D7" s="37">
        <v>29801</v>
      </c>
    </row>
    <row r="8" spans="1:4" x14ac:dyDescent="0.25">
      <c r="A8" s="36" t="s">
        <v>424</v>
      </c>
      <c r="B8" s="37">
        <v>13320</v>
      </c>
      <c r="C8" s="37">
        <v>18586</v>
      </c>
      <c r="D8" s="37">
        <v>32017</v>
      </c>
    </row>
    <row r="9" spans="1:4" x14ac:dyDescent="0.25">
      <c r="A9" s="36" t="s">
        <v>425</v>
      </c>
      <c r="B9" s="37">
        <v>14632</v>
      </c>
      <c r="C9" s="37">
        <v>18882</v>
      </c>
      <c r="D9" s="37">
        <v>33535</v>
      </c>
    </row>
    <row r="10" spans="1:4" x14ac:dyDescent="0.25">
      <c r="A10" s="36" t="s">
        <v>426</v>
      </c>
      <c r="B10" s="37">
        <v>15980</v>
      </c>
      <c r="C10" s="37">
        <v>18687</v>
      </c>
      <c r="D10" s="37">
        <v>34679</v>
      </c>
    </row>
    <row r="11" spans="1:4" x14ac:dyDescent="0.25">
      <c r="A11" s="36" t="s">
        <v>427</v>
      </c>
      <c r="B11" s="37">
        <v>17581</v>
      </c>
      <c r="C11" s="37">
        <v>18469</v>
      </c>
      <c r="D11" s="37">
        <v>36085</v>
      </c>
    </row>
    <row r="12" spans="1:4" x14ac:dyDescent="0.25">
      <c r="A12" s="36" t="s">
        <v>428</v>
      </c>
      <c r="B12" s="37">
        <v>16321</v>
      </c>
      <c r="C12" s="37">
        <v>18437</v>
      </c>
      <c r="D12" s="37">
        <v>34787</v>
      </c>
    </row>
    <row r="13" spans="1:4" x14ac:dyDescent="0.25">
      <c r="A13" s="36" t="s">
        <v>429</v>
      </c>
      <c r="B13" s="37">
        <v>15883</v>
      </c>
      <c r="C13" s="37">
        <v>20458</v>
      </c>
      <c r="D13" s="37">
        <v>36372</v>
      </c>
    </row>
    <row r="14" spans="1:4" x14ac:dyDescent="0.25">
      <c r="A14" s="36" t="s">
        <v>430</v>
      </c>
      <c r="B14" s="37">
        <v>12613</v>
      </c>
      <c r="C14" s="37">
        <v>16688</v>
      </c>
      <c r="D14" s="37">
        <v>29306</v>
      </c>
    </row>
    <row r="15" spans="1:4" x14ac:dyDescent="0.25">
      <c r="A15" s="36" t="s">
        <v>431</v>
      </c>
      <c r="B15" s="37">
        <v>9909</v>
      </c>
      <c r="C15" s="37">
        <v>14957</v>
      </c>
      <c r="D15" s="37">
        <v>24869</v>
      </c>
    </row>
    <row r="16" spans="1:4" x14ac:dyDescent="0.25">
      <c r="A16" s="36" t="s">
        <v>432</v>
      </c>
      <c r="B16" s="37">
        <v>6654</v>
      </c>
      <c r="C16" s="37">
        <v>8794</v>
      </c>
      <c r="D16" s="37">
        <v>15449</v>
      </c>
    </row>
    <row r="17" spans="1:4" x14ac:dyDescent="0.25">
      <c r="A17" s="36" t="s">
        <v>433</v>
      </c>
      <c r="B17" s="37">
        <v>4593</v>
      </c>
      <c r="C17" s="37">
        <v>6917</v>
      </c>
      <c r="D17" s="37">
        <v>11510</v>
      </c>
    </row>
    <row r="18" spans="1:4" x14ac:dyDescent="0.25">
      <c r="A18" s="36" t="s">
        <v>434</v>
      </c>
      <c r="B18" s="37">
        <v>4211</v>
      </c>
      <c r="C18" s="37">
        <v>5862</v>
      </c>
      <c r="D18" s="37">
        <v>10074</v>
      </c>
    </row>
    <row r="19" spans="1:4" x14ac:dyDescent="0.25">
      <c r="A19" s="36" t="s">
        <v>435</v>
      </c>
      <c r="B19" s="37">
        <v>2003</v>
      </c>
      <c r="C19" s="37">
        <v>3117</v>
      </c>
      <c r="D19" s="37">
        <v>5120</v>
      </c>
    </row>
    <row r="20" spans="1:4" x14ac:dyDescent="0.25">
      <c r="A20" s="36" t="s">
        <v>436</v>
      </c>
      <c r="B20" s="37">
        <v>793</v>
      </c>
      <c r="C20" s="37">
        <v>1187</v>
      </c>
      <c r="D20" s="37">
        <v>1980</v>
      </c>
    </row>
    <row r="21" spans="1:4" x14ac:dyDescent="0.25">
      <c r="A21" s="36" t="s">
        <v>437</v>
      </c>
      <c r="B21" s="37">
        <v>239</v>
      </c>
      <c r="C21" s="37">
        <v>391</v>
      </c>
      <c r="D21" s="37">
        <v>630</v>
      </c>
    </row>
    <row r="22" spans="1:4" x14ac:dyDescent="0.25">
      <c r="A22" s="36" t="s">
        <v>438</v>
      </c>
      <c r="B22" s="37">
        <v>41</v>
      </c>
      <c r="C22" s="37">
        <v>44</v>
      </c>
      <c r="D22" s="37">
        <v>85</v>
      </c>
    </row>
    <row r="23" spans="1:4" x14ac:dyDescent="0.25">
      <c r="A23" s="42" t="s">
        <v>235</v>
      </c>
      <c r="B23" s="43">
        <v>152117</v>
      </c>
      <c r="C23" s="43">
        <v>205895</v>
      </c>
      <c r="D23" s="43">
        <v>358395</v>
      </c>
    </row>
    <row r="24" spans="1:4" x14ac:dyDescent="0.25">
      <c r="A24" s="76" t="s">
        <v>527</v>
      </c>
      <c r="B24" s="77"/>
      <c r="C24" s="77"/>
      <c r="D24" s="77"/>
    </row>
    <row r="25" spans="1:4" x14ac:dyDescent="0.25">
      <c r="A25" s="76" t="s">
        <v>528</v>
      </c>
      <c r="B25" s="77"/>
      <c r="C25" s="77"/>
      <c r="D25" s="77"/>
    </row>
    <row r="26" spans="1:4" x14ac:dyDescent="0.25">
      <c r="A26" s="45"/>
      <c r="B26" s="33"/>
      <c r="C26" s="33"/>
      <c r="D26" s="33"/>
    </row>
    <row r="27" spans="1:4" x14ac:dyDescent="0.25">
      <c r="A27" s="33" t="s">
        <v>239</v>
      </c>
      <c r="B27" s="33"/>
      <c r="C27" s="33"/>
      <c r="D27" s="33"/>
    </row>
    <row r="28" spans="1:4" x14ac:dyDescent="0.25">
      <c r="A28" s="46" t="s">
        <v>212</v>
      </c>
      <c r="B28" s="33"/>
      <c r="C28" s="33"/>
      <c r="D28" s="33"/>
    </row>
    <row r="29" spans="1:4" x14ac:dyDescent="0.25">
      <c r="A29" s="33"/>
      <c r="B29" s="33"/>
      <c r="C29" s="33"/>
      <c r="D29" s="33"/>
    </row>
    <row r="30" spans="1:4" x14ac:dyDescent="0.25">
      <c r="A30" s="46" t="s">
        <v>70</v>
      </c>
      <c r="B30" s="33"/>
      <c r="C30" s="33"/>
      <c r="D30" s="33"/>
    </row>
    <row r="31" spans="1:4" x14ac:dyDescent="0.25">
      <c r="A31" s="33"/>
      <c r="B31" s="33"/>
      <c r="C31" s="33"/>
      <c r="D31" s="33"/>
    </row>
    <row r="32" spans="1:4" x14ac:dyDescent="0.25">
      <c r="A32" s="46" t="s">
        <v>240</v>
      </c>
      <c r="B32" s="33"/>
      <c r="C32" s="33"/>
      <c r="D32" s="33"/>
    </row>
  </sheetData>
  <mergeCells count="3">
    <mergeCell ref="A1:D1"/>
    <mergeCell ref="A25:D25"/>
    <mergeCell ref="A24:D24"/>
  </mergeCells>
  <hyperlinks>
    <hyperlink ref="A28" r:id="rId1" xr:uid="{00000000-0004-0000-2300-000000000000}"/>
    <hyperlink ref="A30" location="'Technical specifications'!A1" display="Technical specifications" xr:uid="{00000000-0004-0000-2300-000001000000}"/>
    <hyperlink ref="A32" location="Contents!A1" display="Back to contents" xr:uid="{00000000-0004-0000-2300-000002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15"/>
  <sheetViews>
    <sheetView workbookViewId="0">
      <selection sqref="A1:D1"/>
    </sheetView>
  </sheetViews>
  <sheetFormatPr defaultRowHeight="15" x14ac:dyDescent="0.25"/>
  <cols>
    <col min="1" max="1" width="35" customWidth="1"/>
    <col min="2" max="4" width="20" customWidth="1"/>
  </cols>
  <sheetData>
    <row r="1" spans="1:4" ht="33.75" customHeight="1" x14ac:dyDescent="0.25">
      <c r="A1" s="74" t="s">
        <v>36</v>
      </c>
      <c r="B1" s="75"/>
      <c r="C1" s="75"/>
      <c r="D1" s="75"/>
    </row>
    <row r="2" spans="1:4" x14ac:dyDescent="0.25">
      <c r="A2" s="34" t="s">
        <v>448</v>
      </c>
      <c r="B2" s="35" t="s">
        <v>224</v>
      </c>
      <c r="C2" s="35" t="s">
        <v>237</v>
      </c>
      <c r="D2" s="35" t="s">
        <v>238</v>
      </c>
    </row>
    <row r="3" spans="1:4" x14ac:dyDescent="0.25">
      <c r="A3" s="36" t="s">
        <v>449</v>
      </c>
      <c r="B3" s="37">
        <v>98120</v>
      </c>
      <c r="C3" s="37">
        <v>209181</v>
      </c>
      <c r="D3" s="37">
        <v>307301</v>
      </c>
    </row>
    <row r="4" spans="1:4" x14ac:dyDescent="0.25">
      <c r="A4" s="36" t="s">
        <v>450</v>
      </c>
      <c r="B4" s="37">
        <v>25442</v>
      </c>
      <c r="C4" s="37">
        <v>1383</v>
      </c>
      <c r="D4" s="37">
        <v>26825</v>
      </c>
    </row>
    <row r="5" spans="1:4" x14ac:dyDescent="0.25">
      <c r="A5" s="36" t="s">
        <v>451</v>
      </c>
      <c r="B5" s="37">
        <v>19425</v>
      </c>
      <c r="C5" s="37">
        <v>481</v>
      </c>
      <c r="D5" s="37">
        <v>19906</v>
      </c>
    </row>
    <row r="6" spans="1:4" x14ac:dyDescent="0.25">
      <c r="A6" s="36" t="s">
        <v>452</v>
      </c>
      <c r="B6" s="37">
        <v>87</v>
      </c>
      <c r="C6" s="37">
        <v>4276</v>
      </c>
      <c r="D6" s="37">
        <v>4363</v>
      </c>
    </row>
    <row r="7" spans="1:4" x14ac:dyDescent="0.25">
      <c r="A7" s="42" t="s">
        <v>235</v>
      </c>
      <c r="B7" s="43">
        <v>143074</v>
      </c>
      <c r="C7" s="43">
        <v>215321</v>
      </c>
      <c r="D7" s="43">
        <v>358395</v>
      </c>
    </row>
    <row r="8" spans="1:4" ht="20.25" customHeight="1" x14ac:dyDescent="0.25">
      <c r="A8" s="76" t="s">
        <v>453</v>
      </c>
      <c r="B8" s="77"/>
      <c r="C8" s="77"/>
      <c r="D8" s="77"/>
    </row>
    <row r="9" spans="1:4" x14ac:dyDescent="0.25">
      <c r="A9" s="45"/>
      <c r="B9" s="33"/>
      <c r="C9" s="33"/>
      <c r="D9" s="33"/>
    </row>
    <row r="10" spans="1:4" x14ac:dyDescent="0.25">
      <c r="A10" s="33" t="s">
        <v>239</v>
      </c>
      <c r="B10" s="33"/>
      <c r="C10" s="33"/>
      <c r="D10" s="33"/>
    </row>
    <row r="11" spans="1:4" x14ac:dyDescent="0.25">
      <c r="A11" s="46" t="s">
        <v>212</v>
      </c>
      <c r="B11" s="33"/>
      <c r="C11" s="33"/>
      <c r="D11" s="33"/>
    </row>
    <row r="12" spans="1:4" x14ac:dyDescent="0.25">
      <c r="A12" s="33"/>
      <c r="B12" s="33"/>
      <c r="C12" s="33"/>
      <c r="D12" s="33"/>
    </row>
    <row r="13" spans="1:4" x14ac:dyDescent="0.25">
      <c r="A13" s="46" t="s">
        <v>70</v>
      </c>
      <c r="B13" s="33"/>
      <c r="C13" s="33"/>
      <c r="D13" s="33"/>
    </row>
    <row r="14" spans="1:4" x14ac:dyDescent="0.25">
      <c r="A14" s="33"/>
      <c r="B14" s="33"/>
      <c r="C14" s="33"/>
      <c r="D14" s="33"/>
    </row>
    <row r="15" spans="1:4" x14ac:dyDescent="0.25">
      <c r="A15" s="46" t="s">
        <v>240</v>
      </c>
      <c r="B15" s="33"/>
      <c r="C15" s="33"/>
      <c r="D15" s="33"/>
    </row>
  </sheetData>
  <mergeCells count="2">
    <mergeCell ref="A1:D1"/>
    <mergeCell ref="A8:D8"/>
  </mergeCells>
  <hyperlinks>
    <hyperlink ref="A11" r:id="rId1" xr:uid="{00000000-0004-0000-2400-000000000000}"/>
    <hyperlink ref="A13" location="'Technical specifications'!A1" display="Technical specifications" xr:uid="{00000000-0004-0000-2400-000001000000}"/>
    <hyperlink ref="A15" location="Contents!A1" display="Back to contents" xr:uid="{00000000-0004-0000-2400-000002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14"/>
  <sheetViews>
    <sheetView workbookViewId="0">
      <selection sqref="A1:D1"/>
    </sheetView>
  </sheetViews>
  <sheetFormatPr defaultRowHeight="15" x14ac:dyDescent="0.25"/>
  <cols>
    <col min="1" max="4" width="20" customWidth="1"/>
  </cols>
  <sheetData>
    <row r="1" spans="1:4" ht="33.75" customHeight="1" x14ac:dyDescent="0.25">
      <c r="A1" s="74" t="s">
        <v>37</v>
      </c>
      <c r="B1" s="75"/>
      <c r="C1" s="75"/>
      <c r="D1" s="75"/>
    </row>
    <row r="2" spans="1:4" x14ac:dyDescent="0.25">
      <c r="A2" s="34" t="s">
        <v>454</v>
      </c>
      <c r="B2" s="35" t="s">
        <v>224</v>
      </c>
      <c r="C2" s="35" t="s">
        <v>237</v>
      </c>
      <c r="D2" s="35" t="s">
        <v>238</v>
      </c>
    </row>
    <row r="3" spans="1:4" x14ac:dyDescent="0.25">
      <c r="A3" s="36" t="s">
        <v>227</v>
      </c>
      <c r="B3" s="37">
        <v>86664</v>
      </c>
      <c r="C3" s="37">
        <v>1938</v>
      </c>
      <c r="D3" s="37">
        <v>88602</v>
      </c>
    </row>
    <row r="4" spans="1:4" x14ac:dyDescent="0.25">
      <c r="A4" s="36" t="s">
        <v>455</v>
      </c>
      <c r="B4" s="37">
        <v>21699</v>
      </c>
      <c r="C4" s="37">
        <v>204858</v>
      </c>
      <c r="D4" s="37">
        <v>226557</v>
      </c>
    </row>
    <row r="5" spans="1:4" x14ac:dyDescent="0.25">
      <c r="A5" s="36" t="s">
        <v>456</v>
      </c>
      <c r="B5" s="37">
        <v>27920</v>
      </c>
      <c r="C5" s="37">
        <v>7279</v>
      </c>
      <c r="D5" s="37">
        <v>35199</v>
      </c>
    </row>
    <row r="6" spans="1:4" x14ac:dyDescent="0.25">
      <c r="A6" s="36" t="s">
        <v>452</v>
      </c>
      <c r="B6" s="37">
        <v>6791</v>
      </c>
      <c r="C6" s="37">
        <v>1246</v>
      </c>
      <c r="D6" s="37">
        <v>8037</v>
      </c>
    </row>
    <row r="7" spans="1:4" x14ac:dyDescent="0.25">
      <c r="A7" s="42" t="s">
        <v>235</v>
      </c>
      <c r="B7" s="43">
        <v>143074</v>
      </c>
      <c r="C7" s="43">
        <v>215321</v>
      </c>
      <c r="D7" s="43">
        <v>358395</v>
      </c>
    </row>
    <row r="8" spans="1:4" x14ac:dyDescent="0.25">
      <c r="A8" s="45"/>
      <c r="B8" s="33"/>
      <c r="C8" s="33"/>
      <c r="D8" s="33"/>
    </row>
    <row r="9" spans="1:4" x14ac:dyDescent="0.25">
      <c r="A9" s="33" t="s">
        <v>239</v>
      </c>
      <c r="B9" s="33"/>
      <c r="C9" s="33"/>
      <c r="D9" s="33"/>
    </row>
    <row r="10" spans="1:4" x14ac:dyDescent="0.25">
      <c r="A10" s="46" t="s">
        <v>212</v>
      </c>
      <c r="B10" s="33"/>
      <c r="C10" s="33"/>
      <c r="D10" s="33"/>
    </row>
    <row r="11" spans="1:4" x14ac:dyDescent="0.25">
      <c r="A11" s="33"/>
      <c r="B11" s="33"/>
      <c r="C11" s="33"/>
      <c r="D11" s="33"/>
    </row>
    <row r="12" spans="1:4" x14ac:dyDescent="0.25">
      <c r="A12" s="46" t="s">
        <v>70</v>
      </c>
      <c r="B12" s="33"/>
      <c r="C12" s="33"/>
      <c r="D12" s="33"/>
    </row>
    <row r="13" spans="1:4" x14ac:dyDescent="0.25">
      <c r="A13" s="33"/>
      <c r="B13" s="33"/>
      <c r="C13" s="33"/>
      <c r="D13" s="33"/>
    </row>
    <row r="14" spans="1:4" x14ac:dyDescent="0.25">
      <c r="A14" s="46" t="s">
        <v>240</v>
      </c>
      <c r="B14" s="33"/>
      <c r="C14" s="33"/>
      <c r="D14" s="33"/>
    </row>
  </sheetData>
  <mergeCells count="1">
    <mergeCell ref="A1:D1"/>
  </mergeCells>
  <hyperlinks>
    <hyperlink ref="A10" r:id="rId1" xr:uid="{00000000-0004-0000-2500-000000000000}"/>
    <hyperlink ref="A12" location="'Technical specifications'!A1" display="Technical specifications" xr:uid="{00000000-0004-0000-2500-000001000000}"/>
    <hyperlink ref="A14" location="Contents!A1" display="Back to contents" xr:uid="{00000000-0004-0000-2500-000002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D25"/>
  <sheetViews>
    <sheetView workbookViewId="0">
      <selection sqref="A1:D1"/>
    </sheetView>
  </sheetViews>
  <sheetFormatPr defaultRowHeight="15" x14ac:dyDescent="0.25"/>
  <cols>
    <col min="1" max="1" width="70" customWidth="1"/>
    <col min="2" max="4" width="20" customWidth="1"/>
  </cols>
  <sheetData>
    <row r="1" spans="1:4" ht="33.75" customHeight="1" x14ac:dyDescent="0.25">
      <c r="A1" s="74" t="s">
        <v>38</v>
      </c>
      <c r="B1" s="75"/>
      <c r="C1" s="75"/>
      <c r="D1" s="75"/>
    </row>
    <row r="2" spans="1:4" x14ac:dyDescent="0.25">
      <c r="A2" s="34" t="s">
        <v>357</v>
      </c>
      <c r="B2" s="35" t="s">
        <v>224</v>
      </c>
      <c r="C2" s="35" t="s">
        <v>237</v>
      </c>
      <c r="D2" s="35" t="s">
        <v>238</v>
      </c>
    </row>
    <row r="3" spans="1:4" x14ac:dyDescent="0.25">
      <c r="A3" s="36" t="s">
        <v>529</v>
      </c>
      <c r="B3" s="37">
        <v>2078</v>
      </c>
      <c r="C3" s="37">
        <v>5206</v>
      </c>
      <c r="D3" s="37">
        <v>7284</v>
      </c>
    </row>
    <row r="4" spans="1:4" x14ac:dyDescent="0.25">
      <c r="A4" s="36" t="s">
        <v>530</v>
      </c>
      <c r="B4" s="37">
        <v>18143</v>
      </c>
      <c r="C4" s="37">
        <v>42118</v>
      </c>
      <c r="D4" s="37">
        <v>60261</v>
      </c>
    </row>
    <row r="5" spans="1:4" x14ac:dyDescent="0.25">
      <c r="A5" s="36" t="s">
        <v>531</v>
      </c>
      <c r="B5" s="37">
        <v>42807</v>
      </c>
      <c r="C5" s="37">
        <v>8815</v>
      </c>
      <c r="D5" s="37">
        <v>51622</v>
      </c>
    </row>
    <row r="6" spans="1:4" x14ac:dyDescent="0.25">
      <c r="A6" s="36" t="s">
        <v>532</v>
      </c>
      <c r="B6" s="37">
        <v>31025</v>
      </c>
      <c r="C6" s="37">
        <v>79562</v>
      </c>
      <c r="D6" s="37">
        <v>110587</v>
      </c>
    </row>
    <row r="7" spans="1:4" x14ac:dyDescent="0.25">
      <c r="A7" s="36" t="s">
        <v>533</v>
      </c>
      <c r="B7" s="37">
        <v>17738</v>
      </c>
      <c r="C7" s="37">
        <v>60105</v>
      </c>
      <c r="D7" s="37">
        <v>77843</v>
      </c>
    </row>
    <row r="8" spans="1:4" x14ac:dyDescent="0.25">
      <c r="A8" s="36" t="s">
        <v>534</v>
      </c>
      <c r="B8" s="37">
        <v>3176</v>
      </c>
      <c r="C8" s="37">
        <v>8550</v>
      </c>
      <c r="D8" s="37">
        <v>11726</v>
      </c>
    </row>
    <row r="9" spans="1:4" x14ac:dyDescent="0.25">
      <c r="A9" s="36" t="s">
        <v>535</v>
      </c>
      <c r="B9" s="37">
        <v>8485</v>
      </c>
      <c r="C9" s="37">
        <v>9539</v>
      </c>
      <c r="D9" s="37">
        <v>18024</v>
      </c>
    </row>
    <row r="10" spans="1:4" x14ac:dyDescent="0.25">
      <c r="A10" s="36" t="s">
        <v>536</v>
      </c>
      <c r="B10" s="37" t="s">
        <v>608</v>
      </c>
      <c r="C10" s="37" t="s">
        <v>608</v>
      </c>
      <c r="D10" s="37">
        <v>208</v>
      </c>
    </row>
    <row r="11" spans="1:4" x14ac:dyDescent="0.25">
      <c r="A11" s="36" t="s">
        <v>537</v>
      </c>
      <c r="B11" s="37">
        <v>726</v>
      </c>
      <c r="C11" s="37">
        <v>1077</v>
      </c>
      <c r="D11" s="37">
        <v>1803</v>
      </c>
    </row>
    <row r="12" spans="1:4" x14ac:dyDescent="0.25">
      <c r="A12" s="36" t="s">
        <v>538</v>
      </c>
      <c r="B12" s="37">
        <v>405</v>
      </c>
      <c r="C12" s="37">
        <v>135</v>
      </c>
      <c r="D12" s="37">
        <v>540</v>
      </c>
    </row>
    <row r="13" spans="1:4" x14ac:dyDescent="0.25">
      <c r="A13" s="36" t="s">
        <v>471</v>
      </c>
      <c r="B13" s="37" t="s">
        <v>608</v>
      </c>
      <c r="C13" s="37" t="s">
        <v>608</v>
      </c>
      <c r="D13" s="37">
        <v>211</v>
      </c>
    </row>
    <row r="14" spans="1:4" x14ac:dyDescent="0.25">
      <c r="A14" s="36" t="s">
        <v>539</v>
      </c>
      <c r="B14" s="37">
        <v>13427</v>
      </c>
      <c r="C14" s="37">
        <v>87</v>
      </c>
      <c r="D14" s="37">
        <v>13514</v>
      </c>
    </row>
    <row r="15" spans="1:4" x14ac:dyDescent="0.25">
      <c r="A15" s="36" t="s">
        <v>474</v>
      </c>
      <c r="B15" s="37">
        <v>3383</v>
      </c>
      <c r="C15" s="37">
        <v>13</v>
      </c>
      <c r="D15" s="37">
        <v>3396</v>
      </c>
    </row>
    <row r="16" spans="1:4" x14ac:dyDescent="0.25">
      <c r="A16" s="36" t="s">
        <v>475</v>
      </c>
      <c r="B16" s="37">
        <v>896</v>
      </c>
      <c r="C16" s="37">
        <v>42</v>
      </c>
      <c r="D16" s="37">
        <v>938</v>
      </c>
    </row>
    <row r="17" spans="1:4" x14ac:dyDescent="0.25">
      <c r="A17" s="36" t="s">
        <v>540</v>
      </c>
      <c r="B17" s="37">
        <v>303</v>
      </c>
      <c r="C17" s="37">
        <v>60</v>
      </c>
      <c r="D17" s="37">
        <v>363</v>
      </c>
    </row>
    <row r="18" spans="1:4" x14ac:dyDescent="0.25">
      <c r="A18" s="42" t="s">
        <v>235</v>
      </c>
      <c r="B18" s="43">
        <v>143074</v>
      </c>
      <c r="C18" s="43">
        <v>215321</v>
      </c>
      <c r="D18" s="43">
        <v>358395</v>
      </c>
    </row>
    <row r="19" spans="1:4" x14ac:dyDescent="0.25">
      <c r="A19" s="45"/>
      <c r="B19" s="33"/>
      <c r="C19" s="33"/>
      <c r="D19" s="33"/>
    </row>
    <row r="20" spans="1:4" x14ac:dyDescent="0.25">
      <c r="A20" s="33" t="s">
        <v>239</v>
      </c>
      <c r="B20" s="33"/>
      <c r="C20" s="33"/>
      <c r="D20" s="33"/>
    </row>
    <row r="21" spans="1:4" x14ac:dyDescent="0.25">
      <c r="A21" s="46" t="s">
        <v>212</v>
      </c>
      <c r="B21" s="33"/>
      <c r="C21" s="33"/>
      <c r="D21" s="33"/>
    </row>
    <row r="22" spans="1:4" x14ac:dyDescent="0.25">
      <c r="A22" s="33"/>
      <c r="B22" s="33"/>
      <c r="C22" s="33"/>
      <c r="D22" s="33"/>
    </row>
    <row r="23" spans="1:4" x14ac:dyDescent="0.25">
      <c r="A23" s="46" t="s">
        <v>70</v>
      </c>
      <c r="B23" s="33"/>
      <c r="C23" s="33"/>
      <c r="D23" s="33"/>
    </row>
    <row r="24" spans="1:4" x14ac:dyDescent="0.25">
      <c r="A24" s="33"/>
      <c r="B24" s="33"/>
      <c r="C24" s="33"/>
      <c r="D24" s="33"/>
    </row>
    <row r="25" spans="1:4" x14ac:dyDescent="0.25">
      <c r="A25" s="46" t="s">
        <v>240</v>
      </c>
      <c r="B25" s="33"/>
      <c r="C25" s="33"/>
      <c r="D25" s="33"/>
    </row>
  </sheetData>
  <mergeCells count="1">
    <mergeCell ref="A1:D1"/>
  </mergeCells>
  <hyperlinks>
    <hyperlink ref="A21" r:id="rId1" xr:uid="{00000000-0004-0000-2600-000000000000}"/>
    <hyperlink ref="A23" location="'Technical specifications'!A1" display="Technical specifications" xr:uid="{00000000-0004-0000-2600-000001000000}"/>
    <hyperlink ref="A25" location="Contents!A1" display="Back to contents" xr:uid="{00000000-0004-0000-2600-000002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22"/>
  <sheetViews>
    <sheetView workbookViewId="0">
      <selection sqref="A1:E1"/>
    </sheetView>
  </sheetViews>
  <sheetFormatPr defaultRowHeight="15" x14ac:dyDescent="0.25"/>
  <cols>
    <col min="1" max="1" width="55" customWidth="1"/>
    <col min="2" max="2" width="28" customWidth="1"/>
    <col min="3" max="5" width="20" customWidth="1"/>
  </cols>
  <sheetData>
    <row r="1" spans="1:5" ht="33.75" customHeight="1" x14ac:dyDescent="0.25">
      <c r="A1" s="74" t="s">
        <v>39</v>
      </c>
      <c r="B1" s="75"/>
      <c r="C1" s="75"/>
      <c r="D1" s="75"/>
      <c r="E1" s="75"/>
    </row>
    <row r="2" spans="1:5" x14ac:dyDescent="0.25">
      <c r="A2" s="34" t="s">
        <v>383</v>
      </c>
      <c r="B2" s="34" t="s">
        <v>242</v>
      </c>
      <c r="C2" s="35" t="s">
        <v>224</v>
      </c>
      <c r="D2" s="35" t="s">
        <v>237</v>
      </c>
      <c r="E2" s="35" t="s">
        <v>238</v>
      </c>
    </row>
    <row r="3" spans="1:5" x14ac:dyDescent="0.25">
      <c r="A3" s="36" t="s">
        <v>541</v>
      </c>
      <c r="B3" s="36" t="s">
        <v>385</v>
      </c>
      <c r="C3" s="37">
        <v>663</v>
      </c>
      <c r="D3" s="37">
        <v>77083</v>
      </c>
      <c r="E3" s="37">
        <v>77746</v>
      </c>
    </row>
    <row r="4" spans="1:5" x14ac:dyDescent="0.25">
      <c r="A4" s="36" t="s">
        <v>390</v>
      </c>
      <c r="B4" s="36" t="s">
        <v>385</v>
      </c>
      <c r="C4" s="37">
        <v>60211</v>
      </c>
      <c r="D4" s="37">
        <v>6893</v>
      </c>
      <c r="E4" s="37">
        <v>67104</v>
      </c>
    </row>
    <row r="5" spans="1:5" x14ac:dyDescent="0.25">
      <c r="A5" s="36" t="s">
        <v>391</v>
      </c>
      <c r="B5" s="36" t="s">
        <v>385</v>
      </c>
      <c r="C5" s="37">
        <v>49307</v>
      </c>
      <c r="D5" s="37">
        <v>2510</v>
      </c>
      <c r="E5" s="37">
        <v>51817</v>
      </c>
    </row>
    <row r="6" spans="1:5" x14ac:dyDescent="0.25">
      <c r="A6" s="36" t="s">
        <v>502</v>
      </c>
      <c r="B6" s="36" t="s">
        <v>385</v>
      </c>
      <c r="C6" s="37">
        <v>22880</v>
      </c>
      <c r="D6" s="37">
        <v>19550</v>
      </c>
      <c r="E6" s="37">
        <v>42430</v>
      </c>
    </row>
    <row r="7" spans="1:5" x14ac:dyDescent="0.25">
      <c r="A7" s="36" t="s">
        <v>496</v>
      </c>
      <c r="B7" s="36" t="s">
        <v>385</v>
      </c>
      <c r="C7" s="37">
        <v>36545</v>
      </c>
      <c r="D7" s="37">
        <v>3166</v>
      </c>
      <c r="E7" s="37">
        <v>39711</v>
      </c>
    </row>
    <row r="8" spans="1:5" x14ac:dyDescent="0.25">
      <c r="A8" s="36" t="s">
        <v>542</v>
      </c>
      <c r="B8" s="36" t="s">
        <v>385</v>
      </c>
      <c r="C8" s="37">
        <v>1300</v>
      </c>
      <c r="D8" s="37">
        <v>24489</v>
      </c>
      <c r="E8" s="37">
        <v>25789</v>
      </c>
    </row>
    <row r="9" spans="1:5" x14ac:dyDescent="0.25">
      <c r="A9" s="36" t="s">
        <v>543</v>
      </c>
      <c r="B9" s="36" t="s">
        <v>385</v>
      </c>
      <c r="C9" s="37">
        <v>4907</v>
      </c>
      <c r="D9" s="37">
        <v>19030</v>
      </c>
      <c r="E9" s="37">
        <v>23937</v>
      </c>
    </row>
    <row r="10" spans="1:5" x14ac:dyDescent="0.25">
      <c r="A10" s="36" t="s">
        <v>544</v>
      </c>
      <c r="B10" s="36" t="s">
        <v>385</v>
      </c>
      <c r="C10" s="37">
        <v>13278</v>
      </c>
      <c r="D10" s="37">
        <v>9408</v>
      </c>
      <c r="E10" s="37">
        <v>22686</v>
      </c>
    </row>
    <row r="11" spans="1:5" x14ac:dyDescent="0.25">
      <c r="A11" s="36" t="s">
        <v>545</v>
      </c>
      <c r="B11" s="36" t="s">
        <v>385</v>
      </c>
      <c r="C11" s="37">
        <v>2990</v>
      </c>
      <c r="D11" s="37">
        <v>19314</v>
      </c>
      <c r="E11" s="37">
        <v>22304</v>
      </c>
    </row>
    <row r="12" spans="1:5" x14ac:dyDescent="0.25">
      <c r="A12" s="36" t="s">
        <v>546</v>
      </c>
      <c r="B12" s="36" t="s">
        <v>385</v>
      </c>
      <c r="C12" s="37">
        <v>534</v>
      </c>
      <c r="D12" s="37">
        <v>21548</v>
      </c>
      <c r="E12" s="37">
        <v>22082</v>
      </c>
    </row>
    <row r="13" spans="1:5" x14ac:dyDescent="0.25">
      <c r="A13" s="36" t="s">
        <v>183</v>
      </c>
      <c r="B13" s="36" t="s">
        <v>385</v>
      </c>
      <c r="C13" s="37">
        <v>142189</v>
      </c>
      <c r="D13" s="37">
        <v>163296</v>
      </c>
      <c r="E13" s="37">
        <v>305485</v>
      </c>
    </row>
    <row r="14" spans="1:5" x14ac:dyDescent="0.25">
      <c r="A14" s="47" t="s">
        <v>235</v>
      </c>
      <c r="B14" s="47" t="s">
        <v>385</v>
      </c>
      <c r="C14" s="48">
        <v>334804</v>
      </c>
      <c r="D14" s="48">
        <v>366287</v>
      </c>
      <c r="E14" s="48">
        <v>701091</v>
      </c>
    </row>
    <row r="15" spans="1:5" x14ac:dyDescent="0.25">
      <c r="A15" s="52"/>
      <c r="B15" s="52" t="s">
        <v>395</v>
      </c>
      <c r="C15" s="53">
        <v>35595</v>
      </c>
      <c r="D15" s="53">
        <v>26964</v>
      </c>
      <c r="E15" s="53">
        <v>62559</v>
      </c>
    </row>
    <row r="16" spans="1:5" x14ac:dyDescent="0.25">
      <c r="A16" s="45"/>
      <c r="B16" s="33"/>
      <c r="C16" s="33"/>
      <c r="D16" s="33"/>
      <c r="E16" s="33"/>
    </row>
    <row r="17" spans="1:5" x14ac:dyDescent="0.25">
      <c r="A17" s="33" t="s">
        <v>239</v>
      </c>
      <c r="B17" s="33"/>
      <c r="C17" s="33"/>
      <c r="D17" s="33"/>
      <c r="E17" s="33"/>
    </row>
    <row r="18" spans="1:5" x14ac:dyDescent="0.25">
      <c r="A18" s="46" t="s">
        <v>212</v>
      </c>
      <c r="B18" s="33"/>
      <c r="C18" s="33"/>
      <c r="D18" s="33"/>
      <c r="E18" s="33"/>
    </row>
    <row r="19" spans="1:5" x14ac:dyDescent="0.25">
      <c r="A19" s="33"/>
      <c r="B19" s="33"/>
      <c r="C19" s="33"/>
      <c r="D19" s="33"/>
      <c r="E19" s="33"/>
    </row>
    <row r="20" spans="1:5" x14ac:dyDescent="0.25">
      <c r="A20" s="46" t="s">
        <v>70</v>
      </c>
      <c r="B20" s="33"/>
      <c r="C20" s="33"/>
      <c r="D20" s="33"/>
      <c r="E20" s="33"/>
    </row>
    <row r="21" spans="1:5" x14ac:dyDescent="0.25">
      <c r="A21" s="33"/>
      <c r="B21" s="33"/>
      <c r="C21" s="33"/>
      <c r="D21" s="33"/>
      <c r="E21" s="33"/>
    </row>
    <row r="22" spans="1:5" x14ac:dyDescent="0.25">
      <c r="A22" s="46" t="s">
        <v>240</v>
      </c>
      <c r="B22" s="33"/>
      <c r="C22" s="33"/>
      <c r="D22" s="33"/>
      <c r="E22" s="33"/>
    </row>
  </sheetData>
  <mergeCells count="1">
    <mergeCell ref="A1:E1"/>
  </mergeCells>
  <hyperlinks>
    <hyperlink ref="A18" r:id="rId1" xr:uid="{00000000-0004-0000-2700-000000000000}"/>
    <hyperlink ref="A20" location="'Technical specifications'!A1" display="Technical specifications" xr:uid="{00000000-0004-0000-2700-000001000000}"/>
    <hyperlink ref="A22" location="Contents!A1" display="Back to contents" xr:uid="{00000000-0004-0000-2700-000002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21"/>
  <sheetViews>
    <sheetView workbookViewId="0">
      <selection sqref="A1:E1"/>
    </sheetView>
  </sheetViews>
  <sheetFormatPr defaultRowHeight="15" x14ac:dyDescent="0.25"/>
  <cols>
    <col min="1" max="1" width="16" customWidth="1"/>
    <col min="2" max="2" width="50" customWidth="1"/>
    <col min="3" max="5" width="20" customWidth="1"/>
  </cols>
  <sheetData>
    <row r="1" spans="1:5" ht="33.75" customHeight="1" x14ac:dyDescent="0.25">
      <c r="A1" s="74" t="s">
        <v>40</v>
      </c>
      <c r="B1" s="75"/>
      <c r="C1" s="75"/>
      <c r="D1" s="75"/>
      <c r="E1" s="75"/>
    </row>
    <row r="2" spans="1:5" x14ac:dyDescent="0.25">
      <c r="A2" s="34" t="s">
        <v>547</v>
      </c>
      <c r="B2" s="34" t="s">
        <v>242</v>
      </c>
      <c r="C2" s="35" t="s">
        <v>224</v>
      </c>
      <c r="D2" s="35" t="s">
        <v>237</v>
      </c>
      <c r="E2" s="35" t="s">
        <v>238</v>
      </c>
    </row>
    <row r="3" spans="1:5" x14ac:dyDescent="0.25">
      <c r="A3" s="36" t="s">
        <v>548</v>
      </c>
      <c r="B3" s="36" t="s">
        <v>243</v>
      </c>
      <c r="C3" s="37">
        <v>19593</v>
      </c>
      <c r="D3" s="37">
        <v>170108</v>
      </c>
      <c r="E3" s="37">
        <v>189701</v>
      </c>
    </row>
    <row r="4" spans="1:5" x14ac:dyDescent="0.25">
      <c r="A4" s="36" t="s">
        <v>548</v>
      </c>
      <c r="B4" s="36" t="s">
        <v>549</v>
      </c>
      <c r="C4" s="38">
        <v>1</v>
      </c>
      <c r="D4" s="38">
        <v>1</v>
      </c>
      <c r="E4" s="38">
        <v>1</v>
      </c>
    </row>
    <row r="5" spans="1:5" x14ac:dyDescent="0.25">
      <c r="A5" s="36" t="s">
        <v>548</v>
      </c>
      <c r="B5" s="36" t="s">
        <v>550</v>
      </c>
      <c r="C5" s="37">
        <v>14766</v>
      </c>
      <c r="D5" s="37">
        <v>158807</v>
      </c>
      <c r="E5" s="37">
        <v>173573</v>
      </c>
    </row>
    <row r="6" spans="1:5" x14ac:dyDescent="0.25">
      <c r="A6" s="36" t="s">
        <v>548</v>
      </c>
      <c r="B6" s="36" t="s">
        <v>551</v>
      </c>
      <c r="C6" s="38">
        <v>0.75363650280000005</v>
      </c>
      <c r="D6" s="38">
        <v>0.93356573470000004</v>
      </c>
      <c r="E6" s="38">
        <v>0.91498199800000002</v>
      </c>
    </row>
    <row r="7" spans="1:5" x14ac:dyDescent="0.25">
      <c r="A7" s="36" t="s">
        <v>552</v>
      </c>
      <c r="B7" s="36" t="s">
        <v>243</v>
      </c>
      <c r="C7" s="37">
        <v>2408816</v>
      </c>
      <c r="D7" s="37">
        <v>876235</v>
      </c>
      <c r="E7" s="37">
        <v>3285051</v>
      </c>
    </row>
    <row r="8" spans="1:5" x14ac:dyDescent="0.25">
      <c r="A8" s="36" t="s">
        <v>552</v>
      </c>
      <c r="B8" s="36" t="s">
        <v>549</v>
      </c>
      <c r="C8" s="38">
        <v>19.507584163000001</v>
      </c>
      <c r="D8" s="38">
        <v>19.380156150000001</v>
      </c>
      <c r="E8" s="38">
        <v>19.473431182999999</v>
      </c>
    </row>
    <row r="9" spans="1:5" x14ac:dyDescent="0.25">
      <c r="A9" s="36" t="s">
        <v>552</v>
      </c>
      <c r="B9" s="36" t="s">
        <v>550</v>
      </c>
      <c r="C9" s="37">
        <v>2348413</v>
      </c>
      <c r="D9" s="37">
        <v>856535</v>
      </c>
      <c r="E9" s="37">
        <v>3204948</v>
      </c>
    </row>
    <row r="10" spans="1:5" x14ac:dyDescent="0.25">
      <c r="A10" s="36" t="s">
        <v>552</v>
      </c>
      <c r="B10" s="36" t="s">
        <v>551</v>
      </c>
      <c r="C10" s="38">
        <v>19.018415788999999</v>
      </c>
      <c r="D10" s="38">
        <v>18.944440757999999</v>
      </c>
      <c r="E10" s="38">
        <v>18.998589161000002</v>
      </c>
    </row>
    <row r="11" spans="1:5" x14ac:dyDescent="0.25">
      <c r="A11" s="47" t="s">
        <v>553</v>
      </c>
      <c r="B11" s="47" t="s">
        <v>243</v>
      </c>
      <c r="C11" s="48">
        <v>2428409</v>
      </c>
      <c r="D11" s="48">
        <v>1046343</v>
      </c>
      <c r="E11" s="48">
        <v>3474752</v>
      </c>
    </row>
    <row r="12" spans="1:5" x14ac:dyDescent="0.25">
      <c r="A12" s="47" t="s">
        <v>553</v>
      </c>
      <c r="B12" s="47" t="s">
        <v>549</v>
      </c>
      <c r="C12" s="49">
        <v>16.973097837000001</v>
      </c>
      <c r="D12" s="49">
        <v>4.8594563466</v>
      </c>
      <c r="E12" s="49">
        <v>9.6953138296999999</v>
      </c>
    </row>
    <row r="13" spans="1:5" x14ac:dyDescent="0.25">
      <c r="A13" s="47" t="s">
        <v>553</v>
      </c>
      <c r="B13" s="47" t="s">
        <v>550</v>
      </c>
      <c r="C13" s="48">
        <v>2363179</v>
      </c>
      <c r="D13" s="48">
        <v>1015342</v>
      </c>
      <c r="E13" s="48">
        <v>3378521</v>
      </c>
    </row>
    <row r="14" spans="1:5" x14ac:dyDescent="0.25">
      <c r="A14" s="42" t="s">
        <v>553</v>
      </c>
      <c r="B14" s="42" t="s">
        <v>551</v>
      </c>
      <c r="C14" s="44">
        <v>16.517179921</v>
      </c>
      <c r="D14" s="44">
        <v>4.715480608</v>
      </c>
      <c r="E14" s="44">
        <v>9.4268084096999996</v>
      </c>
    </row>
    <row r="15" spans="1:5" x14ac:dyDescent="0.25">
      <c r="A15" s="45"/>
      <c r="B15" s="33"/>
      <c r="C15" s="33"/>
      <c r="D15" s="33"/>
      <c r="E15" s="33"/>
    </row>
    <row r="16" spans="1:5" x14ac:dyDescent="0.25">
      <c r="A16" s="33" t="s">
        <v>239</v>
      </c>
      <c r="B16" s="33"/>
      <c r="C16" s="33"/>
      <c r="D16" s="33"/>
      <c r="E16" s="33"/>
    </row>
    <row r="17" spans="1:5" x14ac:dyDescent="0.25">
      <c r="A17" s="46" t="s">
        <v>212</v>
      </c>
      <c r="B17" s="33"/>
      <c r="C17" s="33"/>
      <c r="D17" s="33"/>
      <c r="E17" s="33"/>
    </row>
    <row r="18" spans="1:5" x14ac:dyDescent="0.25">
      <c r="A18" s="33"/>
      <c r="B18" s="33"/>
      <c r="C18" s="33"/>
      <c r="D18" s="33"/>
      <c r="E18" s="33"/>
    </row>
    <row r="19" spans="1:5" x14ac:dyDescent="0.25">
      <c r="A19" s="46" t="s">
        <v>70</v>
      </c>
      <c r="B19" s="33"/>
      <c r="C19" s="33"/>
      <c r="D19" s="33"/>
      <c r="E19" s="33"/>
    </row>
    <row r="20" spans="1:5" x14ac:dyDescent="0.25">
      <c r="A20" s="33"/>
      <c r="B20" s="33"/>
      <c r="C20" s="33"/>
      <c r="D20" s="33"/>
      <c r="E20" s="33"/>
    </row>
    <row r="21" spans="1:5" x14ac:dyDescent="0.25">
      <c r="A21" s="46" t="s">
        <v>240</v>
      </c>
      <c r="B21" s="33"/>
      <c r="C21" s="33"/>
      <c r="D21" s="33"/>
      <c r="E21" s="33"/>
    </row>
  </sheetData>
  <mergeCells count="1">
    <mergeCell ref="A1:E1"/>
  </mergeCells>
  <hyperlinks>
    <hyperlink ref="A17" r:id="rId1" xr:uid="{00000000-0004-0000-2800-000000000000}"/>
    <hyperlink ref="A19" location="'Technical specifications'!A1" display="Technical specifications" xr:uid="{00000000-0004-0000-2800-000001000000}"/>
    <hyperlink ref="A21" location="Contents!A1" display="Back to contents" xr:uid="{00000000-0004-0000-2800-000002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7"/>
  <sheetViews>
    <sheetView workbookViewId="0">
      <selection sqref="A1:D1"/>
    </sheetView>
  </sheetViews>
  <sheetFormatPr defaultRowHeight="15" x14ac:dyDescent="0.25"/>
  <cols>
    <col min="1" max="1" width="30" customWidth="1"/>
    <col min="2" max="4" width="20" customWidth="1"/>
  </cols>
  <sheetData>
    <row r="1" spans="1:4" ht="33.75" customHeight="1" x14ac:dyDescent="0.25">
      <c r="A1" s="74" t="s">
        <v>41</v>
      </c>
      <c r="B1" s="75"/>
      <c r="C1" s="75"/>
      <c r="D1" s="75"/>
    </row>
    <row r="2" spans="1:4" x14ac:dyDescent="0.25">
      <c r="A2" s="34" t="s">
        <v>409</v>
      </c>
      <c r="B2" s="35" t="s">
        <v>224</v>
      </c>
      <c r="C2" s="35" t="s">
        <v>237</v>
      </c>
      <c r="D2" s="35" t="s">
        <v>238</v>
      </c>
    </row>
    <row r="3" spans="1:4" x14ac:dyDescent="0.25">
      <c r="A3" s="36" t="s">
        <v>410</v>
      </c>
      <c r="B3" s="37">
        <v>131997</v>
      </c>
      <c r="C3" s="37">
        <v>1459</v>
      </c>
      <c r="D3" s="37">
        <v>133456</v>
      </c>
    </row>
    <row r="4" spans="1:4" x14ac:dyDescent="0.25">
      <c r="A4" s="36" t="s">
        <v>411</v>
      </c>
      <c r="B4" s="37">
        <v>7684</v>
      </c>
      <c r="C4" s="37">
        <v>180564</v>
      </c>
      <c r="D4" s="37">
        <v>188248</v>
      </c>
    </row>
    <row r="5" spans="1:4" x14ac:dyDescent="0.25">
      <c r="A5" s="36" t="s">
        <v>412</v>
      </c>
      <c r="B5" s="37">
        <v>547</v>
      </c>
      <c r="C5" s="37">
        <v>4604</v>
      </c>
      <c r="D5" s="37">
        <v>5151</v>
      </c>
    </row>
    <row r="6" spans="1:4" x14ac:dyDescent="0.25">
      <c r="A6" s="36" t="s">
        <v>507</v>
      </c>
      <c r="B6" s="37">
        <v>161</v>
      </c>
      <c r="C6" s="37">
        <v>14272</v>
      </c>
      <c r="D6" s="37">
        <v>14433</v>
      </c>
    </row>
    <row r="7" spans="1:4" x14ac:dyDescent="0.25">
      <c r="A7" s="36" t="s">
        <v>508</v>
      </c>
      <c r="B7" s="37">
        <v>180</v>
      </c>
      <c r="C7" s="37">
        <v>301</v>
      </c>
      <c r="D7" s="37">
        <v>481</v>
      </c>
    </row>
    <row r="8" spans="1:4" x14ac:dyDescent="0.25">
      <c r="A8" s="36" t="s">
        <v>509</v>
      </c>
      <c r="B8" s="37">
        <v>838</v>
      </c>
      <c r="C8" s="37">
        <v>12097</v>
      </c>
      <c r="D8" s="37">
        <v>12935</v>
      </c>
    </row>
    <row r="9" spans="1:4" x14ac:dyDescent="0.25">
      <c r="A9" s="36" t="s">
        <v>183</v>
      </c>
      <c r="B9" s="37">
        <v>1667</v>
      </c>
      <c r="C9" s="37">
        <v>2024</v>
      </c>
      <c r="D9" s="37">
        <v>3691</v>
      </c>
    </row>
    <row r="10" spans="1:4" x14ac:dyDescent="0.25">
      <c r="A10" s="42" t="s">
        <v>235</v>
      </c>
      <c r="B10" s="43">
        <v>143074</v>
      </c>
      <c r="C10" s="43">
        <v>215321</v>
      </c>
      <c r="D10" s="43">
        <v>358395</v>
      </c>
    </row>
    <row r="11" spans="1:4" x14ac:dyDescent="0.25">
      <c r="A11" s="45"/>
      <c r="B11" s="33"/>
      <c r="C11" s="33"/>
      <c r="D11" s="33"/>
    </row>
    <row r="12" spans="1:4" x14ac:dyDescent="0.25">
      <c r="A12" s="33" t="s">
        <v>239</v>
      </c>
      <c r="B12" s="33"/>
      <c r="C12" s="33"/>
      <c r="D12" s="33"/>
    </row>
    <row r="13" spans="1:4" x14ac:dyDescent="0.25">
      <c r="A13" s="46" t="s">
        <v>212</v>
      </c>
      <c r="B13" s="33"/>
      <c r="C13" s="33"/>
      <c r="D13" s="33"/>
    </row>
    <row r="14" spans="1:4" x14ac:dyDescent="0.25">
      <c r="A14" s="33"/>
      <c r="B14" s="33"/>
      <c r="C14" s="33"/>
      <c r="D14" s="33"/>
    </row>
    <row r="15" spans="1:4" x14ac:dyDescent="0.25">
      <c r="A15" s="46" t="s">
        <v>70</v>
      </c>
      <c r="B15" s="33"/>
      <c r="C15" s="33"/>
      <c r="D15" s="33"/>
    </row>
    <row r="16" spans="1:4" x14ac:dyDescent="0.25">
      <c r="A16" s="33"/>
      <c r="B16" s="33"/>
      <c r="C16" s="33"/>
      <c r="D16" s="33"/>
    </row>
    <row r="17" spans="1:4" x14ac:dyDescent="0.25">
      <c r="A17" s="46" t="s">
        <v>240</v>
      </c>
      <c r="B17" s="33"/>
      <c r="C17" s="33"/>
      <c r="D17" s="33"/>
    </row>
  </sheetData>
  <mergeCells count="1">
    <mergeCell ref="A1:D1"/>
  </mergeCells>
  <hyperlinks>
    <hyperlink ref="A13" r:id="rId1" xr:uid="{00000000-0004-0000-2900-000000000000}"/>
    <hyperlink ref="A15" location="'Technical specifications'!A1" display="Technical specifications" xr:uid="{00000000-0004-0000-2900-000001000000}"/>
    <hyperlink ref="A17" location="Contents!A1" display="Back to contents" xr:uid="{00000000-0004-0000-2900-000002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22"/>
  <sheetViews>
    <sheetView workbookViewId="0">
      <selection sqref="A1:D1"/>
    </sheetView>
  </sheetViews>
  <sheetFormatPr defaultRowHeight="15" x14ac:dyDescent="0.25"/>
  <cols>
    <col min="1" max="1" width="70" customWidth="1"/>
    <col min="2" max="4" width="20" customWidth="1"/>
  </cols>
  <sheetData>
    <row r="1" spans="1:4" ht="33.75" customHeight="1" x14ac:dyDescent="0.25">
      <c r="A1" s="74" t="s">
        <v>42</v>
      </c>
      <c r="B1" s="75"/>
      <c r="C1" s="75"/>
      <c r="D1" s="75"/>
    </row>
    <row r="2" spans="1:4" x14ac:dyDescent="0.25">
      <c r="A2" s="34" t="s">
        <v>400</v>
      </c>
      <c r="B2" s="35" t="s">
        <v>224</v>
      </c>
      <c r="C2" s="35" t="s">
        <v>237</v>
      </c>
      <c r="D2" s="35" t="s">
        <v>238</v>
      </c>
    </row>
    <row r="3" spans="1:4" x14ac:dyDescent="0.25">
      <c r="A3" s="36" t="s">
        <v>401</v>
      </c>
      <c r="B3" s="37">
        <v>120335</v>
      </c>
      <c r="C3" s="37">
        <v>212701</v>
      </c>
      <c r="D3" s="37">
        <v>333036</v>
      </c>
    </row>
    <row r="4" spans="1:4" x14ac:dyDescent="0.25">
      <c r="A4" s="36" t="s">
        <v>402</v>
      </c>
      <c r="B4" s="37">
        <v>9348</v>
      </c>
      <c r="C4" s="37">
        <v>967</v>
      </c>
      <c r="D4" s="37">
        <v>10315</v>
      </c>
    </row>
    <row r="5" spans="1:4" x14ac:dyDescent="0.25">
      <c r="A5" s="36" t="s">
        <v>503</v>
      </c>
      <c r="B5" s="37">
        <v>364</v>
      </c>
      <c r="C5" s="37">
        <v>30</v>
      </c>
      <c r="D5" s="37">
        <v>394</v>
      </c>
    </row>
    <row r="6" spans="1:4" x14ac:dyDescent="0.25">
      <c r="A6" s="36" t="s">
        <v>504</v>
      </c>
      <c r="B6" s="37">
        <v>812</v>
      </c>
      <c r="C6" s="37">
        <v>21</v>
      </c>
      <c r="D6" s="37">
        <v>833</v>
      </c>
    </row>
    <row r="7" spans="1:4" x14ac:dyDescent="0.25">
      <c r="A7" s="36" t="s">
        <v>505</v>
      </c>
      <c r="B7" s="37">
        <v>4124</v>
      </c>
      <c r="C7" s="37">
        <v>6</v>
      </c>
      <c r="D7" s="37">
        <v>4130</v>
      </c>
    </row>
    <row r="8" spans="1:4" x14ac:dyDescent="0.25">
      <c r="A8" s="36" t="s">
        <v>403</v>
      </c>
      <c r="B8" s="37">
        <v>2011</v>
      </c>
      <c r="C8" s="37">
        <v>197</v>
      </c>
      <c r="D8" s="37">
        <v>2208</v>
      </c>
    </row>
    <row r="9" spans="1:4" x14ac:dyDescent="0.25">
      <c r="A9" s="36" t="s">
        <v>404</v>
      </c>
      <c r="B9" s="37">
        <v>3065</v>
      </c>
      <c r="C9" s="37">
        <v>483</v>
      </c>
      <c r="D9" s="37">
        <v>3548</v>
      </c>
    </row>
    <row r="10" spans="1:4" x14ac:dyDescent="0.25">
      <c r="A10" s="36" t="s">
        <v>405</v>
      </c>
      <c r="B10" s="37">
        <v>2110</v>
      </c>
      <c r="C10" s="37">
        <v>797</v>
      </c>
      <c r="D10" s="37">
        <v>2907</v>
      </c>
    </row>
    <row r="11" spans="1:4" x14ac:dyDescent="0.25">
      <c r="A11" s="36" t="s">
        <v>506</v>
      </c>
      <c r="B11" s="37">
        <v>836</v>
      </c>
      <c r="C11" s="37">
        <v>109</v>
      </c>
      <c r="D11" s="37">
        <v>945</v>
      </c>
    </row>
    <row r="12" spans="1:4" x14ac:dyDescent="0.25">
      <c r="A12" s="36" t="s">
        <v>406</v>
      </c>
      <c r="B12" s="37">
        <v>69</v>
      </c>
      <c r="C12" s="37">
        <v>10</v>
      </c>
      <c r="D12" s="37">
        <v>79</v>
      </c>
    </row>
    <row r="13" spans="1:4" x14ac:dyDescent="0.25">
      <c r="A13" s="61" t="s">
        <v>452</v>
      </c>
      <c r="B13" s="37" t="s">
        <v>352</v>
      </c>
      <c r="C13" s="37" t="s">
        <v>352</v>
      </c>
      <c r="D13" s="37" t="s">
        <v>352</v>
      </c>
    </row>
    <row r="14" spans="1:4" x14ac:dyDescent="0.25">
      <c r="A14" s="42" t="s">
        <v>235</v>
      </c>
      <c r="B14" s="43">
        <v>143074</v>
      </c>
      <c r="C14" s="43">
        <v>215321</v>
      </c>
      <c r="D14" s="43">
        <v>358395</v>
      </c>
    </row>
    <row r="15" spans="1:4" ht="20.25" customHeight="1" x14ac:dyDescent="0.25">
      <c r="A15" s="76" t="s">
        <v>407</v>
      </c>
      <c r="B15" s="77"/>
      <c r="C15" s="77"/>
      <c r="D15" s="77"/>
    </row>
    <row r="16" spans="1:4" x14ac:dyDescent="0.25">
      <c r="A16" s="45"/>
      <c r="B16" s="33"/>
      <c r="C16" s="33"/>
      <c r="D16" s="33"/>
    </row>
    <row r="17" spans="1:4" x14ac:dyDescent="0.25">
      <c r="A17" s="33" t="s">
        <v>239</v>
      </c>
      <c r="B17" s="33"/>
      <c r="C17" s="33"/>
      <c r="D17" s="33"/>
    </row>
    <row r="18" spans="1:4" x14ac:dyDescent="0.25">
      <c r="A18" s="46" t="s">
        <v>212</v>
      </c>
      <c r="B18" s="33"/>
      <c r="C18" s="33"/>
      <c r="D18" s="33"/>
    </row>
    <row r="19" spans="1:4" x14ac:dyDescent="0.25">
      <c r="A19" s="33"/>
      <c r="B19" s="33"/>
      <c r="C19" s="33"/>
      <c r="D19" s="33"/>
    </row>
    <row r="20" spans="1:4" x14ac:dyDescent="0.25">
      <c r="A20" s="46" t="s">
        <v>70</v>
      </c>
      <c r="B20" s="33"/>
      <c r="C20" s="33"/>
      <c r="D20" s="33"/>
    </row>
    <row r="21" spans="1:4" x14ac:dyDescent="0.25">
      <c r="A21" s="33"/>
      <c r="B21" s="33"/>
      <c r="C21" s="33"/>
      <c r="D21" s="33"/>
    </row>
    <row r="22" spans="1:4" x14ac:dyDescent="0.25">
      <c r="A22" s="46" t="s">
        <v>240</v>
      </c>
      <c r="B22" s="33"/>
      <c r="C22" s="33"/>
      <c r="D22" s="33"/>
    </row>
  </sheetData>
  <mergeCells count="2">
    <mergeCell ref="A1:D1"/>
    <mergeCell ref="A15:D15"/>
  </mergeCells>
  <hyperlinks>
    <hyperlink ref="A18" r:id="rId1" xr:uid="{00000000-0004-0000-2A00-000000000000}"/>
    <hyperlink ref="A20" location="'Technical specifications'!A1" display="Technical specifications" xr:uid="{00000000-0004-0000-2A00-000001000000}"/>
    <hyperlink ref="A22" location="Contents!A1" display="Back to contents" xr:uid="{00000000-0004-0000-2A00-000002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D22"/>
  <sheetViews>
    <sheetView workbookViewId="0">
      <selection sqref="A1:D1"/>
    </sheetView>
  </sheetViews>
  <sheetFormatPr defaultRowHeight="15" x14ac:dyDescent="0.25"/>
  <cols>
    <col min="1" max="1" width="70" customWidth="1"/>
    <col min="2" max="4" width="20" customWidth="1"/>
  </cols>
  <sheetData>
    <row r="1" spans="1:4" ht="33.75" customHeight="1" x14ac:dyDescent="0.25">
      <c r="A1" s="74" t="s">
        <v>43</v>
      </c>
      <c r="B1" s="75"/>
      <c r="C1" s="75"/>
      <c r="D1" s="75"/>
    </row>
    <row r="2" spans="1:4" x14ac:dyDescent="0.25">
      <c r="A2" s="34" t="s">
        <v>400</v>
      </c>
      <c r="B2" s="35" t="s">
        <v>224</v>
      </c>
      <c r="C2" s="35" t="s">
        <v>237</v>
      </c>
      <c r="D2" s="35" t="s">
        <v>238</v>
      </c>
    </row>
    <row r="3" spans="1:4" x14ac:dyDescent="0.25">
      <c r="A3" s="36" t="s">
        <v>401</v>
      </c>
      <c r="B3" s="37">
        <v>6841918</v>
      </c>
      <c r="C3" s="37">
        <v>4955915</v>
      </c>
      <c r="D3" s="37">
        <v>11797833</v>
      </c>
    </row>
    <row r="4" spans="1:4" x14ac:dyDescent="0.25">
      <c r="A4" s="36" t="s">
        <v>402</v>
      </c>
      <c r="B4" s="37">
        <v>331262</v>
      </c>
      <c r="C4" s="37">
        <v>59059</v>
      </c>
      <c r="D4" s="37">
        <v>390321</v>
      </c>
    </row>
    <row r="5" spans="1:4" x14ac:dyDescent="0.25">
      <c r="A5" s="36" t="s">
        <v>503</v>
      </c>
      <c r="B5" s="37">
        <v>34850</v>
      </c>
      <c r="C5" s="37">
        <v>7255</v>
      </c>
      <c r="D5" s="37">
        <v>42105</v>
      </c>
    </row>
    <row r="6" spans="1:4" x14ac:dyDescent="0.25">
      <c r="A6" s="36" t="s">
        <v>504</v>
      </c>
      <c r="B6" s="37">
        <v>94228</v>
      </c>
      <c r="C6" s="37">
        <v>7327</v>
      </c>
      <c r="D6" s="37">
        <v>101555</v>
      </c>
    </row>
    <row r="7" spans="1:4" x14ac:dyDescent="0.25">
      <c r="A7" s="36" t="s">
        <v>505</v>
      </c>
      <c r="B7" s="37">
        <v>6090</v>
      </c>
      <c r="C7" s="37">
        <v>84</v>
      </c>
      <c r="D7" s="37">
        <v>6174</v>
      </c>
    </row>
    <row r="8" spans="1:4" x14ac:dyDescent="0.25">
      <c r="A8" s="36" t="s">
        <v>403</v>
      </c>
      <c r="B8" s="37">
        <v>12047</v>
      </c>
      <c r="C8" s="37">
        <v>2791</v>
      </c>
      <c r="D8" s="37">
        <v>14838</v>
      </c>
    </row>
    <row r="9" spans="1:4" x14ac:dyDescent="0.25">
      <c r="A9" s="36" t="s">
        <v>404</v>
      </c>
      <c r="B9" s="37">
        <v>167561</v>
      </c>
      <c r="C9" s="37">
        <v>75341</v>
      </c>
      <c r="D9" s="37">
        <v>242902</v>
      </c>
    </row>
    <row r="10" spans="1:4" x14ac:dyDescent="0.25">
      <c r="A10" s="36" t="s">
        <v>405</v>
      </c>
      <c r="B10" s="37">
        <v>84806</v>
      </c>
      <c r="C10" s="37">
        <v>3159</v>
      </c>
      <c r="D10" s="37">
        <v>87965</v>
      </c>
    </row>
    <row r="11" spans="1:4" x14ac:dyDescent="0.25">
      <c r="A11" s="36" t="s">
        <v>506</v>
      </c>
      <c r="B11" s="37">
        <v>2953</v>
      </c>
      <c r="C11" s="37">
        <v>234</v>
      </c>
      <c r="D11" s="37">
        <v>3187</v>
      </c>
    </row>
    <row r="12" spans="1:4" x14ac:dyDescent="0.25">
      <c r="A12" s="36" t="s">
        <v>406</v>
      </c>
      <c r="B12" s="37">
        <v>75837</v>
      </c>
      <c r="C12" s="37">
        <v>13987</v>
      </c>
      <c r="D12" s="37">
        <v>89824</v>
      </c>
    </row>
    <row r="13" spans="1:4" x14ac:dyDescent="0.25">
      <c r="A13" s="61" t="s">
        <v>452</v>
      </c>
      <c r="B13" s="37" t="s">
        <v>352</v>
      </c>
      <c r="C13" s="37" t="s">
        <v>352</v>
      </c>
      <c r="D13" s="37" t="s">
        <v>352</v>
      </c>
    </row>
    <row r="14" spans="1:4" x14ac:dyDescent="0.25">
      <c r="A14" s="42" t="s">
        <v>235</v>
      </c>
      <c r="B14" s="43">
        <v>7651552</v>
      </c>
      <c r="C14" s="43">
        <v>5125152</v>
      </c>
      <c r="D14" s="43">
        <v>12776704</v>
      </c>
    </row>
    <row r="15" spans="1:4" ht="20.25" customHeight="1" x14ac:dyDescent="0.25">
      <c r="A15" s="76" t="s">
        <v>407</v>
      </c>
      <c r="B15" s="77"/>
      <c r="C15" s="77"/>
      <c r="D15" s="77"/>
    </row>
    <row r="16" spans="1:4" x14ac:dyDescent="0.25">
      <c r="A16" s="45"/>
      <c r="B16" s="33"/>
      <c r="C16" s="33"/>
      <c r="D16" s="33"/>
    </row>
    <row r="17" spans="1:4" x14ac:dyDescent="0.25">
      <c r="A17" s="33" t="s">
        <v>239</v>
      </c>
      <c r="B17" s="33"/>
      <c r="C17" s="33"/>
      <c r="D17" s="33"/>
    </row>
    <row r="18" spans="1:4" x14ac:dyDescent="0.25">
      <c r="A18" s="46" t="s">
        <v>212</v>
      </c>
      <c r="B18" s="33"/>
      <c r="C18" s="33"/>
      <c r="D18" s="33"/>
    </row>
    <row r="19" spans="1:4" x14ac:dyDescent="0.25">
      <c r="A19" s="33"/>
      <c r="B19" s="33"/>
      <c r="C19" s="33"/>
      <c r="D19" s="33"/>
    </row>
    <row r="20" spans="1:4" x14ac:dyDescent="0.25">
      <c r="A20" s="46" t="s">
        <v>70</v>
      </c>
      <c r="B20" s="33"/>
      <c r="C20" s="33"/>
      <c r="D20" s="33"/>
    </row>
    <row r="21" spans="1:4" x14ac:dyDescent="0.25">
      <c r="A21" s="33"/>
      <c r="B21" s="33"/>
      <c r="C21" s="33"/>
      <c r="D21" s="33"/>
    </row>
    <row r="22" spans="1:4" x14ac:dyDescent="0.25">
      <c r="A22" s="46" t="s">
        <v>240</v>
      </c>
      <c r="B22" s="33"/>
      <c r="C22" s="33"/>
      <c r="D22" s="33"/>
    </row>
  </sheetData>
  <mergeCells count="2">
    <mergeCell ref="A1:D1"/>
    <mergeCell ref="A15:D15"/>
  </mergeCells>
  <hyperlinks>
    <hyperlink ref="A18" r:id="rId1" xr:uid="{00000000-0004-0000-2B00-000000000000}"/>
    <hyperlink ref="A20" location="'Technical specifications'!A1" display="Technical specifications" xr:uid="{00000000-0004-0000-2B00-000001000000}"/>
    <hyperlink ref="A22" location="Contents!A1" display="Back to contents" xr:uid="{00000000-0004-0000-2B00-000002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42"/>
  <sheetViews>
    <sheetView zoomScaleNormal="100" workbookViewId="0">
      <selection sqref="A1:L1"/>
    </sheetView>
  </sheetViews>
  <sheetFormatPr defaultRowHeight="15" x14ac:dyDescent="0.25"/>
  <cols>
    <col min="1" max="1" width="17" customWidth="1"/>
    <col min="2" max="2" width="31" customWidth="1"/>
    <col min="3" max="3" width="46" customWidth="1"/>
    <col min="4" max="12" width="8.42578125" customWidth="1"/>
  </cols>
  <sheetData>
    <row r="1" spans="1:12" ht="33.75" customHeight="1" x14ac:dyDescent="0.25">
      <c r="A1" s="74" t="s">
        <v>44</v>
      </c>
      <c r="B1" s="75"/>
      <c r="C1" s="75"/>
      <c r="D1" s="75"/>
      <c r="E1" s="75"/>
      <c r="F1" s="75"/>
      <c r="G1" s="75"/>
      <c r="H1" s="75"/>
      <c r="I1" s="75"/>
      <c r="J1" s="75"/>
      <c r="K1" s="75"/>
      <c r="L1" s="75"/>
    </row>
    <row r="2" spans="1:12" x14ac:dyDescent="0.25">
      <c r="A2" s="34" t="s">
        <v>214</v>
      </c>
      <c r="B2" s="34" t="s">
        <v>215</v>
      </c>
      <c r="C2" s="34" t="s">
        <v>216</v>
      </c>
      <c r="D2" s="35" t="s">
        <v>338</v>
      </c>
      <c r="E2" s="35" t="s">
        <v>339</v>
      </c>
      <c r="F2" s="35" t="s">
        <v>340</v>
      </c>
      <c r="G2" s="35" t="s">
        <v>341</v>
      </c>
      <c r="H2" s="35" t="s">
        <v>342</v>
      </c>
      <c r="I2" s="35" t="s">
        <v>343</v>
      </c>
      <c r="J2" s="35" t="s">
        <v>344</v>
      </c>
      <c r="K2" s="35" t="s">
        <v>345</v>
      </c>
      <c r="L2" s="35" t="s">
        <v>235</v>
      </c>
    </row>
    <row r="3" spans="1:12" x14ac:dyDescent="0.25">
      <c r="A3" s="36" t="s">
        <v>224</v>
      </c>
      <c r="B3" s="36" t="s">
        <v>225</v>
      </c>
      <c r="C3" s="36" t="s">
        <v>225</v>
      </c>
      <c r="D3" s="37">
        <v>67447</v>
      </c>
      <c r="E3" s="37">
        <v>58408</v>
      </c>
      <c r="F3" s="37">
        <v>44106</v>
      </c>
      <c r="G3" s="37">
        <v>23219</v>
      </c>
      <c r="H3" s="37">
        <v>14679</v>
      </c>
      <c r="I3" s="37">
        <v>4472</v>
      </c>
      <c r="J3" s="37">
        <v>5109</v>
      </c>
      <c r="K3" s="37">
        <v>3026</v>
      </c>
      <c r="L3" s="37">
        <v>220466</v>
      </c>
    </row>
    <row r="4" spans="1:12" x14ac:dyDescent="0.25">
      <c r="A4" s="36" t="s">
        <v>224</v>
      </c>
      <c r="B4" s="36" t="s">
        <v>245</v>
      </c>
      <c r="C4" s="36" t="s">
        <v>554</v>
      </c>
      <c r="D4" s="37">
        <v>107512</v>
      </c>
      <c r="E4" s="37">
        <v>83291</v>
      </c>
      <c r="F4" s="37">
        <v>69092</v>
      </c>
      <c r="G4" s="37">
        <v>39018</v>
      </c>
      <c r="H4" s="37">
        <v>22935</v>
      </c>
      <c r="I4" s="37">
        <v>7910</v>
      </c>
      <c r="J4" s="37">
        <v>11569</v>
      </c>
      <c r="K4" s="37">
        <v>6081</v>
      </c>
      <c r="L4" s="37">
        <v>347408</v>
      </c>
    </row>
    <row r="5" spans="1:12" x14ac:dyDescent="0.25">
      <c r="A5" s="36" t="s">
        <v>224</v>
      </c>
      <c r="B5" s="36" t="s">
        <v>245</v>
      </c>
      <c r="C5" s="36" t="s">
        <v>555</v>
      </c>
      <c r="D5" s="37">
        <v>237671</v>
      </c>
      <c r="E5" s="37">
        <v>253447</v>
      </c>
      <c r="F5" s="37">
        <v>171803</v>
      </c>
      <c r="G5" s="37">
        <v>89256</v>
      </c>
      <c r="H5" s="37">
        <v>65227</v>
      </c>
      <c r="I5" s="37">
        <v>21572</v>
      </c>
      <c r="J5" s="37">
        <v>14913</v>
      </c>
      <c r="K5" s="37">
        <v>7116</v>
      </c>
      <c r="L5" s="37">
        <v>861005</v>
      </c>
    </row>
    <row r="6" spans="1:12" x14ac:dyDescent="0.25">
      <c r="A6" s="39" t="s">
        <v>224</v>
      </c>
      <c r="B6" s="39" t="s">
        <v>245</v>
      </c>
      <c r="C6" s="39" t="s">
        <v>235</v>
      </c>
      <c r="D6" s="40">
        <v>345183</v>
      </c>
      <c r="E6" s="40">
        <v>336738</v>
      </c>
      <c r="F6" s="40">
        <v>240895</v>
      </c>
      <c r="G6" s="40">
        <v>128274</v>
      </c>
      <c r="H6" s="40">
        <v>88162</v>
      </c>
      <c r="I6" s="40">
        <v>29482</v>
      </c>
      <c r="J6" s="40">
        <v>26482</v>
      </c>
      <c r="K6" s="40">
        <v>13197</v>
      </c>
      <c r="L6" s="40">
        <v>1208413</v>
      </c>
    </row>
    <row r="7" spans="1:12" x14ac:dyDescent="0.25">
      <c r="A7" s="36" t="s">
        <v>224</v>
      </c>
      <c r="B7" s="36" t="s">
        <v>246</v>
      </c>
      <c r="C7" s="36" t="s">
        <v>556</v>
      </c>
      <c r="D7" s="37">
        <v>33626</v>
      </c>
      <c r="E7" s="37">
        <v>22676</v>
      </c>
      <c r="F7" s="37">
        <v>21179</v>
      </c>
      <c r="G7" s="37">
        <v>10286</v>
      </c>
      <c r="H7" s="37">
        <v>5819</v>
      </c>
      <c r="I7" s="37">
        <v>2351</v>
      </c>
      <c r="J7" s="37">
        <v>2545</v>
      </c>
      <c r="K7" s="37">
        <v>1234</v>
      </c>
      <c r="L7" s="37">
        <v>99716</v>
      </c>
    </row>
    <row r="8" spans="1:12" x14ac:dyDescent="0.25">
      <c r="A8" s="36" t="s">
        <v>224</v>
      </c>
      <c r="B8" s="36" t="s">
        <v>246</v>
      </c>
      <c r="C8" s="36" t="s">
        <v>557</v>
      </c>
      <c r="D8" s="37">
        <v>102485</v>
      </c>
      <c r="E8" s="37">
        <v>148376</v>
      </c>
      <c r="F8" s="37">
        <v>55567</v>
      </c>
      <c r="G8" s="37">
        <v>66890</v>
      </c>
      <c r="H8" s="37">
        <v>12082</v>
      </c>
      <c r="I8" s="37">
        <v>14553</v>
      </c>
      <c r="J8" s="37">
        <v>6333</v>
      </c>
      <c r="K8" s="37">
        <v>3398</v>
      </c>
      <c r="L8" s="37">
        <v>409684</v>
      </c>
    </row>
    <row r="9" spans="1:12" x14ac:dyDescent="0.25">
      <c r="A9" s="39" t="s">
        <v>224</v>
      </c>
      <c r="B9" s="39" t="s">
        <v>246</v>
      </c>
      <c r="C9" s="39" t="s">
        <v>235</v>
      </c>
      <c r="D9" s="40">
        <v>136111</v>
      </c>
      <c r="E9" s="40">
        <v>171052</v>
      </c>
      <c r="F9" s="40">
        <v>76746</v>
      </c>
      <c r="G9" s="40">
        <v>77176</v>
      </c>
      <c r="H9" s="40">
        <v>17901</v>
      </c>
      <c r="I9" s="40">
        <v>16904</v>
      </c>
      <c r="J9" s="40">
        <v>8878</v>
      </c>
      <c r="K9" s="40">
        <v>4632</v>
      </c>
      <c r="L9" s="40">
        <v>509400</v>
      </c>
    </row>
    <row r="10" spans="1:12" x14ac:dyDescent="0.25">
      <c r="A10" s="36" t="s">
        <v>224</v>
      </c>
      <c r="B10" s="36" t="s">
        <v>230</v>
      </c>
      <c r="C10" s="36" t="s">
        <v>230</v>
      </c>
      <c r="D10" s="37">
        <v>40974</v>
      </c>
      <c r="E10" s="37">
        <v>28567</v>
      </c>
      <c r="F10" s="37">
        <v>31933</v>
      </c>
      <c r="G10" s="37">
        <v>16867</v>
      </c>
      <c r="H10" s="37">
        <v>15010</v>
      </c>
      <c r="I10" s="37">
        <v>4908</v>
      </c>
      <c r="J10" s="37">
        <v>3380</v>
      </c>
      <c r="K10" s="37">
        <v>1432</v>
      </c>
      <c r="L10" s="37">
        <v>143071</v>
      </c>
    </row>
    <row r="11" spans="1:12" x14ac:dyDescent="0.25">
      <c r="A11" s="36" t="s">
        <v>224</v>
      </c>
      <c r="B11" s="36" t="s">
        <v>231</v>
      </c>
      <c r="C11" s="36" t="s">
        <v>232</v>
      </c>
      <c r="D11" s="37">
        <v>18637</v>
      </c>
      <c r="E11" s="37">
        <v>9310</v>
      </c>
      <c r="F11" s="37">
        <v>14043</v>
      </c>
      <c r="G11" s="37">
        <v>2861</v>
      </c>
      <c r="H11" s="37">
        <v>2740</v>
      </c>
      <c r="I11" s="37">
        <v>1088</v>
      </c>
      <c r="J11" s="37">
        <v>1147</v>
      </c>
      <c r="K11" s="37">
        <v>495</v>
      </c>
      <c r="L11" s="37">
        <v>50321</v>
      </c>
    </row>
    <row r="12" spans="1:12" x14ac:dyDescent="0.25">
      <c r="A12" s="36" t="s">
        <v>224</v>
      </c>
      <c r="B12" s="36" t="s">
        <v>231</v>
      </c>
      <c r="C12" s="36" t="s">
        <v>233</v>
      </c>
      <c r="D12" s="37">
        <v>26787</v>
      </c>
      <c r="E12" s="37">
        <v>20601</v>
      </c>
      <c r="F12" s="37">
        <v>28667</v>
      </c>
      <c r="G12" s="37">
        <v>5652</v>
      </c>
      <c r="H12" s="37">
        <v>12948</v>
      </c>
      <c r="I12" s="37">
        <v>2591</v>
      </c>
      <c r="J12" s="37">
        <v>2500</v>
      </c>
      <c r="K12" s="37">
        <v>694</v>
      </c>
      <c r="L12" s="37">
        <v>100440</v>
      </c>
    </row>
    <row r="13" spans="1:12" x14ac:dyDescent="0.25">
      <c r="A13" s="36" t="s">
        <v>224</v>
      </c>
      <c r="B13" s="36" t="s">
        <v>231</v>
      </c>
      <c r="C13" s="36" t="s">
        <v>234</v>
      </c>
      <c r="D13" s="37">
        <v>28281</v>
      </c>
      <c r="E13" s="37">
        <v>14317</v>
      </c>
      <c r="F13" s="37">
        <v>30352</v>
      </c>
      <c r="G13" s="37">
        <v>7516</v>
      </c>
      <c r="H13" s="37">
        <v>6167</v>
      </c>
      <c r="I13" s="37">
        <v>1150</v>
      </c>
      <c r="J13" s="37">
        <v>1804</v>
      </c>
      <c r="K13" s="37">
        <v>343</v>
      </c>
      <c r="L13" s="37">
        <v>89930</v>
      </c>
    </row>
    <row r="14" spans="1:12" x14ac:dyDescent="0.25">
      <c r="A14" s="39" t="s">
        <v>224</v>
      </c>
      <c r="B14" s="39" t="s">
        <v>231</v>
      </c>
      <c r="C14" s="39" t="s">
        <v>235</v>
      </c>
      <c r="D14" s="40">
        <v>73705</v>
      </c>
      <c r="E14" s="40">
        <v>44228</v>
      </c>
      <c r="F14" s="40">
        <v>73062</v>
      </c>
      <c r="G14" s="40">
        <v>16029</v>
      </c>
      <c r="H14" s="40">
        <v>21855</v>
      </c>
      <c r="I14" s="40">
        <v>4829</v>
      </c>
      <c r="J14" s="40">
        <v>5451</v>
      </c>
      <c r="K14" s="40">
        <v>1532</v>
      </c>
      <c r="L14" s="40">
        <v>240691</v>
      </c>
    </row>
    <row r="15" spans="1:12" x14ac:dyDescent="0.25">
      <c r="A15" s="36" t="s">
        <v>224</v>
      </c>
      <c r="B15" s="36" t="s">
        <v>236</v>
      </c>
      <c r="C15" s="36" t="s">
        <v>558</v>
      </c>
      <c r="D15" s="37">
        <v>643742</v>
      </c>
      <c r="E15" s="37">
        <v>646230</v>
      </c>
      <c r="F15" s="37">
        <v>629514</v>
      </c>
      <c r="G15" s="37">
        <v>207533</v>
      </c>
      <c r="H15" s="37">
        <v>172962</v>
      </c>
      <c r="I15" s="37">
        <v>47339</v>
      </c>
      <c r="J15" s="37">
        <v>71470</v>
      </c>
      <c r="K15" s="37">
        <v>51230</v>
      </c>
      <c r="L15" s="37">
        <v>2470020</v>
      </c>
    </row>
    <row r="16" spans="1:12" x14ac:dyDescent="0.25">
      <c r="A16" s="36" t="s">
        <v>224</v>
      </c>
      <c r="B16" s="36" t="s">
        <v>236</v>
      </c>
      <c r="C16" s="36" t="s">
        <v>559</v>
      </c>
      <c r="D16" s="37">
        <v>660317</v>
      </c>
      <c r="E16" s="37">
        <v>852322</v>
      </c>
      <c r="F16" s="37">
        <v>725724</v>
      </c>
      <c r="G16" s="37">
        <v>227037</v>
      </c>
      <c r="H16" s="37">
        <v>180420</v>
      </c>
      <c r="I16" s="37">
        <v>70099</v>
      </c>
      <c r="J16" s="37">
        <v>38633</v>
      </c>
      <c r="K16" s="37">
        <v>104914</v>
      </c>
      <c r="L16" s="37">
        <v>2859466</v>
      </c>
    </row>
    <row r="17" spans="1:12" x14ac:dyDescent="0.25">
      <c r="A17" s="39" t="s">
        <v>224</v>
      </c>
      <c r="B17" s="39" t="s">
        <v>236</v>
      </c>
      <c r="C17" s="39" t="s">
        <v>235</v>
      </c>
      <c r="D17" s="40">
        <v>1304059</v>
      </c>
      <c r="E17" s="40">
        <v>1498552</v>
      </c>
      <c r="F17" s="40">
        <v>1355238</v>
      </c>
      <c r="G17" s="40">
        <v>434570</v>
      </c>
      <c r="H17" s="40">
        <v>353382</v>
      </c>
      <c r="I17" s="40">
        <v>117438</v>
      </c>
      <c r="J17" s="40">
        <v>110103</v>
      </c>
      <c r="K17" s="40">
        <v>156144</v>
      </c>
      <c r="L17" s="40">
        <v>5329486</v>
      </c>
    </row>
    <row r="18" spans="1:12" x14ac:dyDescent="0.25">
      <c r="A18" s="47" t="s">
        <v>224</v>
      </c>
      <c r="B18" s="47" t="s">
        <v>235</v>
      </c>
      <c r="C18" s="47" t="s">
        <v>235</v>
      </c>
      <c r="D18" s="48">
        <v>1967479</v>
      </c>
      <c r="E18" s="48">
        <v>2137545</v>
      </c>
      <c r="F18" s="48">
        <v>1821980</v>
      </c>
      <c r="G18" s="48">
        <v>696135</v>
      </c>
      <c r="H18" s="48">
        <v>510989</v>
      </c>
      <c r="I18" s="48">
        <v>178033</v>
      </c>
      <c r="J18" s="48">
        <v>159403</v>
      </c>
      <c r="K18" s="48">
        <v>179963</v>
      </c>
      <c r="L18" s="48">
        <v>7651527</v>
      </c>
    </row>
    <row r="19" spans="1:12" x14ac:dyDescent="0.25">
      <c r="A19" s="36" t="s">
        <v>237</v>
      </c>
      <c r="B19" s="36" t="s">
        <v>225</v>
      </c>
      <c r="C19" s="36" t="s">
        <v>225</v>
      </c>
      <c r="D19" s="37">
        <v>19276</v>
      </c>
      <c r="E19" s="37">
        <v>15937</v>
      </c>
      <c r="F19" s="37">
        <v>11988</v>
      </c>
      <c r="G19" s="37">
        <v>6848</v>
      </c>
      <c r="H19" s="37">
        <v>3356</v>
      </c>
      <c r="I19" s="58" t="s">
        <v>608</v>
      </c>
      <c r="J19" s="58" t="s">
        <v>447</v>
      </c>
      <c r="K19" s="58" t="s">
        <v>608</v>
      </c>
      <c r="L19" s="37">
        <v>58866</v>
      </c>
    </row>
    <row r="20" spans="1:12" x14ac:dyDescent="0.25">
      <c r="A20" s="36" t="s">
        <v>237</v>
      </c>
      <c r="B20" s="36" t="s">
        <v>245</v>
      </c>
      <c r="C20" s="36" t="s">
        <v>554</v>
      </c>
      <c r="D20" s="37">
        <v>7374</v>
      </c>
      <c r="E20" s="37">
        <v>14300</v>
      </c>
      <c r="F20" s="37">
        <v>9186</v>
      </c>
      <c r="G20" s="37">
        <v>5983</v>
      </c>
      <c r="H20" s="37">
        <v>7817</v>
      </c>
      <c r="I20" s="58" t="s">
        <v>608</v>
      </c>
      <c r="J20" s="58" t="s">
        <v>447</v>
      </c>
      <c r="K20" s="58" t="s">
        <v>608</v>
      </c>
      <c r="L20" s="37">
        <v>45161</v>
      </c>
    </row>
    <row r="21" spans="1:12" x14ac:dyDescent="0.25">
      <c r="A21" s="36" t="s">
        <v>237</v>
      </c>
      <c r="B21" s="36" t="s">
        <v>245</v>
      </c>
      <c r="C21" s="36" t="s">
        <v>555</v>
      </c>
      <c r="D21" s="37">
        <v>505307</v>
      </c>
      <c r="E21" s="37">
        <v>388056</v>
      </c>
      <c r="F21" s="37">
        <v>421570</v>
      </c>
      <c r="G21" s="37">
        <v>195590</v>
      </c>
      <c r="H21" s="37">
        <v>144547</v>
      </c>
      <c r="I21" s="58" t="s">
        <v>608</v>
      </c>
      <c r="J21" s="58" t="s">
        <v>447</v>
      </c>
      <c r="K21" s="58" t="s">
        <v>608</v>
      </c>
      <c r="L21" s="37">
        <v>1708209</v>
      </c>
    </row>
    <row r="22" spans="1:12" x14ac:dyDescent="0.25">
      <c r="A22" s="39" t="s">
        <v>237</v>
      </c>
      <c r="B22" s="39" t="s">
        <v>245</v>
      </c>
      <c r="C22" s="39" t="s">
        <v>235</v>
      </c>
      <c r="D22" s="40">
        <v>512681</v>
      </c>
      <c r="E22" s="40">
        <v>402356</v>
      </c>
      <c r="F22" s="40">
        <v>430756</v>
      </c>
      <c r="G22" s="40">
        <v>201573</v>
      </c>
      <c r="H22" s="40">
        <v>152364</v>
      </c>
      <c r="I22" s="57" t="s">
        <v>608</v>
      </c>
      <c r="J22" s="57" t="s">
        <v>447</v>
      </c>
      <c r="K22" s="57" t="s">
        <v>608</v>
      </c>
      <c r="L22" s="40">
        <v>1753370</v>
      </c>
    </row>
    <row r="23" spans="1:12" x14ac:dyDescent="0.25">
      <c r="A23" s="36" t="s">
        <v>237</v>
      </c>
      <c r="B23" s="36" t="s">
        <v>246</v>
      </c>
      <c r="C23" s="36" t="s">
        <v>556</v>
      </c>
      <c r="D23" s="37">
        <v>2308</v>
      </c>
      <c r="E23" s="37">
        <v>5505</v>
      </c>
      <c r="F23" s="37">
        <v>3613</v>
      </c>
      <c r="G23" s="37">
        <v>1801</v>
      </c>
      <c r="H23" s="37">
        <v>3951</v>
      </c>
      <c r="I23" s="58" t="s">
        <v>608</v>
      </c>
      <c r="J23" s="58" t="s">
        <v>447</v>
      </c>
      <c r="K23" s="58" t="s">
        <v>608</v>
      </c>
      <c r="L23" s="37">
        <v>17328</v>
      </c>
    </row>
    <row r="24" spans="1:12" x14ac:dyDescent="0.25">
      <c r="A24" s="36" t="s">
        <v>237</v>
      </c>
      <c r="B24" s="36" t="s">
        <v>246</v>
      </c>
      <c r="C24" s="36" t="s">
        <v>557</v>
      </c>
      <c r="D24" s="37">
        <v>295472</v>
      </c>
      <c r="E24" s="37">
        <v>276104</v>
      </c>
      <c r="F24" s="37">
        <v>238422</v>
      </c>
      <c r="G24" s="37">
        <v>108806</v>
      </c>
      <c r="H24" s="37">
        <v>68845</v>
      </c>
      <c r="I24" s="58" t="s">
        <v>608</v>
      </c>
      <c r="J24" s="58" t="s">
        <v>447</v>
      </c>
      <c r="K24" s="58" t="s">
        <v>608</v>
      </c>
      <c r="L24" s="37">
        <v>1015646</v>
      </c>
    </row>
    <row r="25" spans="1:12" x14ac:dyDescent="0.25">
      <c r="A25" s="39" t="s">
        <v>237</v>
      </c>
      <c r="B25" s="39" t="s">
        <v>246</v>
      </c>
      <c r="C25" s="39" t="s">
        <v>235</v>
      </c>
      <c r="D25" s="40">
        <v>297780</v>
      </c>
      <c r="E25" s="40">
        <v>281609</v>
      </c>
      <c r="F25" s="40">
        <v>242035</v>
      </c>
      <c r="G25" s="40">
        <v>110607</v>
      </c>
      <c r="H25" s="40">
        <v>72796</v>
      </c>
      <c r="I25" s="57" t="s">
        <v>608</v>
      </c>
      <c r="J25" s="57" t="s">
        <v>447</v>
      </c>
      <c r="K25" s="57" t="s">
        <v>608</v>
      </c>
      <c r="L25" s="40">
        <v>1032974</v>
      </c>
    </row>
    <row r="26" spans="1:12" x14ac:dyDescent="0.25">
      <c r="A26" s="36" t="s">
        <v>237</v>
      </c>
      <c r="B26" s="36" t="s">
        <v>230</v>
      </c>
      <c r="C26" s="36" t="s">
        <v>230</v>
      </c>
      <c r="D26" s="37">
        <v>86933</v>
      </c>
      <c r="E26" s="37">
        <v>30798</v>
      </c>
      <c r="F26" s="37">
        <v>81752</v>
      </c>
      <c r="G26" s="37">
        <v>9051</v>
      </c>
      <c r="H26" s="37">
        <v>1518</v>
      </c>
      <c r="I26" s="58" t="s">
        <v>608</v>
      </c>
      <c r="J26" s="58" t="s">
        <v>447</v>
      </c>
      <c r="K26" s="58" t="s">
        <v>608</v>
      </c>
      <c r="L26" s="37">
        <v>215321</v>
      </c>
    </row>
    <row r="27" spans="1:12" x14ac:dyDescent="0.25">
      <c r="A27" s="36" t="s">
        <v>237</v>
      </c>
      <c r="B27" s="36" t="s">
        <v>231</v>
      </c>
      <c r="C27" s="36" t="s">
        <v>232</v>
      </c>
      <c r="D27" s="37">
        <v>376</v>
      </c>
      <c r="E27" s="37">
        <v>720</v>
      </c>
      <c r="F27" s="37">
        <v>3312</v>
      </c>
      <c r="G27" s="37">
        <v>2161</v>
      </c>
      <c r="H27" s="37">
        <v>1457</v>
      </c>
      <c r="I27" s="58" t="s">
        <v>608</v>
      </c>
      <c r="J27" s="58" t="s">
        <v>447</v>
      </c>
      <c r="K27" s="58" t="s">
        <v>608</v>
      </c>
      <c r="L27" s="37">
        <v>8298</v>
      </c>
    </row>
    <row r="28" spans="1:12" x14ac:dyDescent="0.25">
      <c r="A28" s="36" t="s">
        <v>237</v>
      </c>
      <c r="B28" s="36" t="s">
        <v>231</v>
      </c>
      <c r="C28" s="36" t="s">
        <v>233</v>
      </c>
      <c r="D28" s="37">
        <v>10065</v>
      </c>
      <c r="E28" s="37">
        <v>8259</v>
      </c>
      <c r="F28" s="37">
        <v>947</v>
      </c>
      <c r="G28" s="37">
        <v>323</v>
      </c>
      <c r="H28" s="37">
        <v>93</v>
      </c>
      <c r="I28" s="58" t="s">
        <v>608</v>
      </c>
      <c r="J28" s="58" t="s">
        <v>447</v>
      </c>
      <c r="K28" s="58" t="s">
        <v>608</v>
      </c>
      <c r="L28" s="37">
        <v>19713</v>
      </c>
    </row>
    <row r="29" spans="1:12" x14ac:dyDescent="0.25">
      <c r="A29" s="36" t="s">
        <v>237</v>
      </c>
      <c r="B29" s="36" t="s">
        <v>231</v>
      </c>
      <c r="C29" s="36" t="s">
        <v>234</v>
      </c>
      <c r="D29" s="37">
        <v>282169</v>
      </c>
      <c r="E29" s="37">
        <v>22879</v>
      </c>
      <c r="F29" s="37">
        <v>80755</v>
      </c>
      <c r="G29" s="37">
        <v>3963</v>
      </c>
      <c r="H29" s="37">
        <v>15121</v>
      </c>
      <c r="I29" s="58" t="s">
        <v>608</v>
      </c>
      <c r="J29" s="58" t="s">
        <v>447</v>
      </c>
      <c r="K29" s="58" t="s">
        <v>608</v>
      </c>
      <c r="L29" s="37">
        <v>406451</v>
      </c>
    </row>
    <row r="30" spans="1:12" x14ac:dyDescent="0.25">
      <c r="A30" s="39" t="s">
        <v>237</v>
      </c>
      <c r="B30" s="39" t="s">
        <v>231</v>
      </c>
      <c r="C30" s="39" t="s">
        <v>235</v>
      </c>
      <c r="D30" s="40">
        <v>292610</v>
      </c>
      <c r="E30" s="40">
        <v>31858</v>
      </c>
      <c r="F30" s="40">
        <v>85014</v>
      </c>
      <c r="G30" s="40">
        <v>6447</v>
      </c>
      <c r="H30" s="40">
        <v>16671</v>
      </c>
      <c r="I30" s="57" t="s">
        <v>608</v>
      </c>
      <c r="J30" s="57" t="s">
        <v>447</v>
      </c>
      <c r="K30" s="57" t="s">
        <v>608</v>
      </c>
      <c r="L30" s="40">
        <v>434462</v>
      </c>
    </row>
    <row r="31" spans="1:12" x14ac:dyDescent="0.25">
      <c r="A31" s="36" t="s">
        <v>237</v>
      </c>
      <c r="B31" s="36" t="s">
        <v>236</v>
      </c>
      <c r="C31" s="36" t="s">
        <v>558</v>
      </c>
      <c r="D31" s="37">
        <v>25943</v>
      </c>
      <c r="E31" s="37">
        <v>54577</v>
      </c>
      <c r="F31" s="37">
        <v>53142</v>
      </c>
      <c r="G31" s="37">
        <v>25938</v>
      </c>
      <c r="H31" s="37">
        <v>13282</v>
      </c>
      <c r="I31" s="58" t="s">
        <v>608</v>
      </c>
      <c r="J31" s="58" t="s">
        <v>447</v>
      </c>
      <c r="K31" s="58" t="s">
        <v>608</v>
      </c>
      <c r="L31" s="37">
        <v>174740</v>
      </c>
    </row>
    <row r="32" spans="1:12" x14ac:dyDescent="0.25">
      <c r="A32" s="36" t="s">
        <v>237</v>
      </c>
      <c r="B32" s="36" t="s">
        <v>236</v>
      </c>
      <c r="C32" s="36" t="s">
        <v>559</v>
      </c>
      <c r="D32" s="37">
        <v>329860</v>
      </c>
      <c r="E32" s="37">
        <v>312335</v>
      </c>
      <c r="F32" s="37">
        <v>428110</v>
      </c>
      <c r="G32" s="37">
        <v>229702</v>
      </c>
      <c r="H32" s="37">
        <v>121942</v>
      </c>
      <c r="I32" s="58" t="s">
        <v>608</v>
      </c>
      <c r="J32" s="58" t="s">
        <v>447</v>
      </c>
      <c r="K32" s="58" t="s">
        <v>608</v>
      </c>
      <c r="L32" s="37">
        <v>1455417</v>
      </c>
    </row>
    <row r="33" spans="1:12" x14ac:dyDescent="0.25">
      <c r="A33" s="39" t="s">
        <v>237</v>
      </c>
      <c r="B33" s="39" t="s">
        <v>236</v>
      </c>
      <c r="C33" s="39" t="s">
        <v>235</v>
      </c>
      <c r="D33" s="40">
        <v>355803</v>
      </c>
      <c r="E33" s="40">
        <v>366912</v>
      </c>
      <c r="F33" s="40">
        <v>481252</v>
      </c>
      <c r="G33" s="40">
        <v>255640</v>
      </c>
      <c r="H33" s="40">
        <v>135224</v>
      </c>
      <c r="I33" s="57" t="s">
        <v>608</v>
      </c>
      <c r="J33" s="57" t="s">
        <v>447</v>
      </c>
      <c r="K33" s="57" t="s">
        <v>608</v>
      </c>
      <c r="L33" s="40">
        <v>1630157</v>
      </c>
    </row>
    <row r="34" spans="1:12" x14ac:dyDescent="0.25">
      <c r="A34" s="47" t="s">
        <v>237</v>
      </c>
      <c r="B34" s="47" t="s">
        <v>235</v>
      </c>
      <c r="C34" s="47" t="s">
        <v>235</v>
      </c>
      <c r="D34" s="48">
        <v>1565083</v>
      </c>
      <c r="E34" s="48">
        <v>1129470</v>
      </c>
      <c r="F34" s="48">
        <v>1332797</v>
      </c>
      <c r="G34" s="48">
        <v>590166</v>
      </c>
      <c r="H34" s="48">
        <v>381929</v>
      </c>
      <c r="I34" s="62" t="s">
        <v>608</v>
      </c>
      <c r="J34" s="62" t="s">
        <v>447</v>
      </c>
      <c r="K34" s="62" t="s">
        <v>608</v>
      </c>
      <c r="L34" s="48">
        <v>5125150</v>
      </c>
    </row>
    <row r="35" spans="1:12" ht="15.75" thickBot="1" x14ac:dyDescent="0.3">
      <c r="A35" s="42" t="s">
        <v>238</v>
      </c>
      <c r="B35" s="42" t="s">
        <v>235</v>
      </c>
      <c r="C35" s="42" t="s">
        <v>235</v>
      </c>
      <c r="D35" s="43">
        <v>3532562</v>
      </c>
      <c r="E35" s="43">
        <v>3267015</v>
      </c>
      <c r="F35" s="43">
        <v>3154777</v>
      </c>
      <c r="G35" s="43">
        <v>1286301</v>
      </c>
      <c r="H35" s="43">
        <v>892918</v>
      </c>
      <c r="I35" s="63" t="s">
        <v>608</v>
      </c>
      <c r="J35" s="63" t="s">
        <v>447</v>
      </c>
      <c r="K35" s="63" t="s">
        <v>608</v>
      </c>
      <c r="L35" s="43">
        <v>12776677</v>
      </c>
    </row>
    <row r="36" spans="1:12" x14ac:dyDescent="0.25">
      <c r="A36" s="45"/>
      <c r="B36" s="33"/>
      <c r="C36" s="33"/>
      <c r="D36" s="33"/>
      <c r="E36" s="33"/>
      <c r="F36" s="33"/>
      <c r="G36" s="33"/>
      <c r="H36" s="33"/>
      <c r="I36" s="33"/>
      <c r="J36" s="33"/>
      <c r="K36" s="33"/>
      <c r="L36" s="33"/>
    </row>
    <row r="37" spans="1:12" x14ac:dyDescent="0.25">
      <c r="A37" s="33" t="s">
        <v>239</v>
      </c>
      <c r="B37" s="33"/>
      <c r="C37" s="33"/>
      <c r="D37" s="33"/>
      <c r="E37" s="33"/>
      <c r="F37" s="33"/>
      <c r="G37" s="33"/>
      <c r="H37" s="33"/>
      <c r="I37" s="33"/>
      <c r="J37" s="33"/>
      <c r="K37" s="33"/>
      <c r="L37" s="33"/>
    </row>
    <row r="38" spans="1:12" x14ac:dyDescent="0.25">
      <c r="A38" s="46" t="s">
        <v>212</v>
      </c>
      <c r="B38" s="33"/>
      <c r="C38" s="33"/>
      <c r="D38" s="33"/>
      <c r="E38" s="33"/>
      <c r="F38" s="33"/>
      <c r="G38" s="33"/>
      <c r="H38" s="33"/>
      <c r="I38" s="33"/>
      <c r="J38" s="33"/>
      <c r="K38" s="33"/>
      <c r="L38" s="33"/>
    </row>
    <row r="39" spans="1:12" x14ac:dyDescent="0.25">
      <c r="A39" s="33"/>
      <c r="B39" s="33"/>
      <c r="C39" s="33"/>
      <c r="D39" s="33"/>
      <c r="E39" s="33"/>
      <c r="F39" s="33"/>
      <c r="G39" s="33"/>
      <c r="H39" s="33"/>
      <c r="I39" s="33"/>
      <c r="J39" s="33"/>
      <c r="K39" s="33"/>
      <c r="L39" s="33"/>
    </row>
    <row r="40" spans="1:12" x14ac:dyDescent="0.25">
      <c r="A40" s="46" t="s">
        <v>70</v>
      </c>
      <c r="B40" s="33"/>
      <c r="C40" s="33"/>
      <c r="D40" s="33"/>
      <c r="E40" s="33"/>
      <c r="F40" s="33"/>
      <c r="G40" s="33"/>
      <c r="H40" s="33"/>
      <c r="I40" s="33"/>
      <c r="J40" s="33"/>
      <c r="K40" s="33"/>
      <c r="L40" s="33"/>
    </row>
    <row r="41" spans="1:12" x14ac:dyDescent="0.25">
      <c r="A41" s="33"/>
      <c r="B41" s="33"/>
      <c r="C41" s="33"/>
      <c r="D41" s="33"/>
      <c r="E41" s="33"/>
      <c r="F41" s="33"/>
      <c r="G41" s="33"/>
      <c r="H41" s="33"/>
      <c r="I41" s="33"/>
      <c r="J41" s="33"/>
      <c r="K41" s="33"/>
      <c r="L41" s="33"/>
    </row>
    <row r="42" spans="1:12" x14ac:dyDescent="0.25">
      <c r="A42" s="46" t="s">
        <v>240</v>
      </c>
      <c r="B42" s="33"/>
      <c r="C42" s="33"/>
      <c r="D42" s="33"/>
      <c r="E42" s="33"/>
      <c r="F42" s="33"/>
      <c r="G42" s="33"/>
      <c r="H42" s="33"/>
      <c r="I42" s="33"/>
      <c r="J42" s="33"/>
      <c r="K42" s="33"/>
      <c r="L42" s="33"/>
    </row>
  </sheetData>
  <mergeCells count="1">
    <mergeCell ref="A1:L1"/>
  </mergeCells>
  <hyperlinks>
    <hyperlink ref="A38" r:id="rId1" xr:uid="{00000000-0004-0000-2C00-000000000000}"/>
    <hyperlink ref="A40" location="'Technical specifications'!A1" display="Technical specifications" xr:uid="{00000000-0004-0000-2C00-000001000000}"/>
    <hyperlink ref="A42" location="Contents!A1" display="Back to contents" xr:uid="{00000000-0004-0000-2C00-000002000000}"/>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33"/>
  <sheetViews>
    <sheetView workbookViewId="0">
      <selection sqref="A1:L1"/>
    </sheetView>
  </sheetViews>
  <sheetFormatPr defaultRowHeight="15" x14ac:dyDescent="0.25"/>
  <cols>
    <col min="1" max="1" width="17" customWidth="1"/>
    <col min="2" max="2" width="31" customWidth="1"/>
    <col min="3" max="3" width="46" customWidth="1"/>
    <col min="4" max="12" width="8.42578125" customWidth="1"/>
  </cols>
  <sheetData>
    <row r="1" spans="1:12" ht="33.75" customHeight="1" x14ac:dyDescent="0.25">
      <c r="A1" s="74" t="s">
        <v>45</v>
      </c>
      <c r="B1" s="75"/>
      <c r="C1" s="75"/>
      <c r="D1" s="75"/>
      <c r="E1" s="75"/>
      <c r="F1" s="75"/>
      <c r="G1" s="75"/>
      <c r="H1" s="75"/>
      <c r="I1" s="75"/>
      <c r="J1" s="75"/>
      <c r="K1" s="75"/>
      <c r="L1" s="75"/>
    </row>
    <row r="2" spans="1:12" x14ac:dyDescent="0.25">
      <c r="A2" s="34" t="s">
        <v>214</v>
      </c>
      <c r="B2" s="34" t="s">
        <v>215</v>
      </c>
      <c r="C2" s="34" t="s">
        <v>560</v>
      </c>
      <c r="D2" s="35" t="s">
        <v>338</v>
      </c>
      <c r="E2" s="35" t="s">
        <v>339</v>
      </c>
      <c r="F2" s="35" t="s">
        <v>340</v>
      </c>
      <c r="G2" s="35" t="s">
        <v>341</v>
      </c>
      <c r="H2" s="35" t="s">
        <v>342</v>
      </c>
      <c r="I2" s="35" t="s">
        <v>343</v>
      </c>
      <c r="J2" s="35" t="s">
        <v>344</v>
      </c>
      <c r="K2" s="35" t="s">
        <v>345</v>
      </c>
      <c r="L2" s="35" t="s">
        <v>235</v>
      </c>
    </row>
    <row r="3" spans="1:12" x14ac:dyDescent="0.25">
      <c r="A3" s="36" t="s">
        <v>224</v>
      </c>
      <c r="B3" s="36" t="s">
        <v>225</v>
      </c>
      <c r="C3" s="36" t="s">
        <v>225</v>
      </c>
      <c r="D3" s="37">
        <v>3230</v>
      </c>
      <c r="E3" s="37">
        <v>1893</v>
      </c>
      <c r="F3" s="37">
        <v>2531</v>
      </c>
      <c r="G3" s="37">
        <v>1234</v>
      </c>
      <c r="H3" s="37">
        <v>874</v>
      </c>
      <c r="I3" s="37">
        <v>319</v>
      </c>
      <c r="J3" s="37">
        <v>414</v>
      </c>
      <c r="K3" s="37">
        <v>184</v>
      </c>
      <c r="L3" s="37">
        <v>10679</v>
      </c>
    </row>
    <row r="4" spans="1:12" x14ac:dyDescent="0.25">
      <c r="A4" s="36" t="s">
        <v>224</v>
      </c>
      <c r="B4" s="36" t="s">
        <v>245</v>
      </c>
      <c r="C4" s="36" t="s">
        <v>554</v>
      </c>
      <c r="D4" s="37">
        <v>15425</v>
      </c>
      <c r="E4" s="37">
        <v>10256</v>
      </c>
      <c r="F4" s="37">
        <v>5251</v>
      </c>
      <c r="G4" s="37">
        <v>5561</v>
      </c>
      <c r="H4" s="37">
        <v>2288</v>
      </c>
      <c r="I4" s="37">
        <v>978</v>
      </c>
      <c r="J4" s="37">
        <v>3854</v>
      </c>
      <c r="K4" s="37">
        <v>246</v>
      </c>
      <c r="L4" s="37">
        <v>43859</v>
      </c>
    </row>
    <row r="5" spans="1:12" x14ac:dyDescent="0.25">
      <c r="A5" s="36" t="s">
        <v>224</v>
      </c>
      <c r="B5" s="36" t="s">
        <v>245</v>
      </c>
      <c r="C5" s="36" t="s">
        <v>555</v>
      </c>
      <c r="D5" s="37">
        <v>140538</v>
      </c>
      <c r="E5" s="37">
        <v>156768</v>
      </c>
      <c r="F5" s="37">
        <v>98726</v>
      </c>
      <c r="G5" s="37">
        <v>52126</v>
      </c>
      <c r="H5" s="37">
        <v>40051</v>
      </c>
      <c r="I5" s="37">
        <v>12525</v>
      </c>
      <c r="J5" s="37">
        <v>7520</v>
      </c>
      <c r="K5" s="37">
        <v>4112</v>
      </c>
      <c r="L5" s="37">
        <v>512366</v>
      </c>
    </row>
    <row r="6" spans="1:12" x14ac:dyDescent="0.25">
      <c r="A6" s="39" t="s">
        <v>224</v>
      </c>
      <c r="B6" s="39" t="s">
        <v>245</v>
      </c>
      <c r="C6" s="39" t="s">
        <v>235</v>
      </c>
      <c r="D6" s="40">
        <v>155963</v>
      </c>
      <c r="E6" s="40">
        <v>167024</v>
      </c>
      <c r="F6" s="40">
        <v>103977</v>
      </c>
      <c r="G6" s="40">
        <v>57687</v>
      </c>
      <c r="H6" s="40">
        <v>42339</v>
      </c>
      <c r="I6" s="40">
        <v>13503</v>
      </c>
      <c r="J6" s="40">
        <v>11374</v>
      </c>
      <c r="K6" s="40">
        <v>4358</v>
      </c>
      <c r="L6" s="40">
        <v>556225</v>
      </c>
    </row>
    <row r="7" spans="1:12" x14ac:dyDescent="0.25">
      <c r="A7" s="36" t="s">
        <v>224</v>
      </c>
      <c r="B7" s="36" t="s">
        <v>246</v>
      </c>
      <c r="C7" s="36" t="s">
        <v>556</v>
      </c>
      <c r="D7" s="37">
        <v>1741</v>
      </c>
      <c r="E7" s="37">
        <v>1550</v>
      </c>
      <c r="F7" s="37">
        <v>1294</v>
      </c>
      <c r="G7" s="37">
        <v>955</v>
      </c>
      <c r="H7" s="37">
        <v>321</v>
      </c>
      <c r="I7" s="37">
        <v>112</v>
      </c>
      <c r="J7" s="37">
        <v>331</v>
      </c>
      <c r="K7" s="37">
        <v>45</v>
      </c>
      <c r="L7" s="37">
        <v>6349</v>
      </c>
    </row>
    <row r="8" spans="1:12" x14ac:dyDescent="0.25">
      <c r="A8" s="36" t="s">
        <v>224</v>
      </c>
      <c r="B8" s="36" t="s">
        <v>246</v>
      </c>
      <c r="C8" s="36" t="s">
        <v>557</v>
      </c>
      <c r="D8" s="37">
        <v>94676</v>
      </c>
      <c r="E8" s="37">
        <v>139457</v>
      </c>
      <c r="F8" s="37">
        <v>47752</v>
      </c>
      <c r="G8" s="37">
        <v>64030</v>
      </c>
      <c r="H8" s="37">
        <v>10371</v>
      </c>
      <c r="I8" s="37">
        <v>13755</v>
      </c>
      <c r="J8" s="37">
        <v>5864</v>
      </c>
      <c r="K8" s="37">
        <v>3066</v>
      </c>
      <c r="L8" s="37">
        <v>378971</v>
      </c>
    </row>
    <row r="9" spans="1:12" x14ac:dyDescent="0.25">
      <c r="A9" s="39" t="s">
        <v>224</v>
      </c>
      <c r="B9" s="39" t="s">
        <v>246</v>
      </c>
      <c r="C9" s="39" t="s">
        <v>235</v>
      </c>
      <c r="D9" s="40">
        <v>96417</v>
      </c>
      <c r="E9" s="40">
        <v>141007</v>
      </c>
      <c r="F9" s="40">
        <v>49046</v>
      </c>
      <c r="G9" s="40">
        <v>64985</v>
      </c>
      <c r="H9" s="40">
        <v>10692</v>
      </c>
      <c r="I9" s="40">
        <v>13867</v>
      </c>
      <c r="J9" s="40">
        <v>6195</v>
      </c>
      <c r="K9" s="40">
        <v>3111</v>
      </c>
      <c r="L9" s="40">
        <v>385320</v>
      </c>
    </row>
    <row r="10" spans="1:12" x14ac:dyDescent="0.25">
      <c r="A10" s="36" t="s">
        <v>224</v>
      </c>
      <c r="B10" s="36" t="s">
        <v>236</v>
      </c>
      <c r="C10" s="36" t="s">
        <v>558</v>
      </c>
      <c r="D10" s="37">
        <v>129855</v>
      </c>
      <c r="E10" s="37">
        <v>259585</v>
      </c>
      <c r="F10" s="37">
        <v>253072</v>
      </c>
      <c r="G10" s="37">
        <v>47344</v>
      </c>
      <c r="H10" s="37">
        <v>56474</v>
      </c>
      <c r="I10" s="37">
        <v>12585</v>
      </c>
      <c r="J10" s="37">
        <v>39383</v>
      </c>
      <c r="K10" s="37">
        <v>18513</v>
      </c>
      <c r="L10" s="37">
        <v>816811</v>
      </c>
    </row>
    <row r="11" spans="1:12" x14ac:dyDescent="0.25">
      <c r="A11" s="36" t="s">
        <v>224</v>
      </c>
      <c r="B11" s="36" t="s">
        <v>236</v>
      </c>
      <c r="C11" s="36" t="s">
        <v>559</v>
      </c>
      <c r="D11" s="37">
        <v>552712</v>
      </c>
      <c r="E11" s="37">
        <v>748861</v>
      </c>
      <c r="F11" s="37">
        <v>651573</v>
      </c>
      <c r="G11" s="37">
        <v>204026</v>
      </c>
      <c r="H11" s="37">
        <v>151532</v>
      </c>
      <c r="I11" s="37">
        <v>62092</v>
      </c>
      <c r="J11" s="37">
        <v>32186</v>
      </c>
      <c r="K11" s="37">
        <v>100932</v>
      </c>
      <c r="L11" s="37">
        <v>2503914</v>
      </c>
    </row>
    <row r="12" spans="1:12" x14ac:dyDescent="0.25">
      <c r="A12" s="39" t="s">
        <v>224</v>
      </c>
      <c r="B12" s="39" t="s">
        <v>236</v>
      </c>
      <c r="C12" s="39" t="s">
        <v>235</v>
      </c>
      <c r="D12" s="40">
        <v>682567</v>
      </c>
      <c r="E12" s="40">
        <v>1008446</v>
      </c>
      <c r="F12" s="40">
        <v>904645</v>
      </c>
      <c r="G12" s="40">
        <v>251370</v>
      </c>
      <c r="H12" s="40">
        <v>208006</v>
      </c>
      <c r="I12" s="40">
        <v>74677</v>
      </c>
      <c r="J12" s="40">
        <v>71569</v>
      </c>
      <c r="K12" s="40">
        <v>119445</v>
      </c>
      <c r="L12" s="40">
        <v>3320725</v>
      </c>
    </row>
    <row r="13" spans="1:12" x14ac:dyDescent="0.25">
      <c r="A13" s="47" t="s">
        <v>224</v>
      </c>
      <c r="B13" s="47" t="s">
        <v>235</v>
      </c>
      <c r="C13" s="47" t="s">
        <v>235</v>
      </c>
      <c r="D13" s="48">
        <v>938177</v>
      </c>
      <c r="E13" s="48">
        <v>1318370</v>
      </c>
      <c r="F13" s="48">
        <v>1060199</v>
      </c>
      <c r="G13" s="48">
        <v>375276</v>
      </c>
      <c r="H13" s="48">
        <v>261911</v>
      </c>
      <c r="I13" s="48">
        <v>102366</v>
      </c>
      <c r="J13" s="48">
        <v>89552</v>
      </c>
      <c r="K13" s="48">
        <v>127098</v>
      </c>
      <c r="L13" s="48">
        <v>4272949</v>
      </c>
    </row>
    <row r="14" spans="1:12" x14ac:dyDescent="0.25">
      <c r="A14" s="36" t="s">
        <v>237</v>
      </c>
      <c r="B14" s="36" t="s">
        <v>225</v>
      </c>
      <c r="C14" s="36" t="s">
        <v>225</v>
      </c>
      <c r="D14" s="37">
        <v>16</v>
      </c>
      <c r="E14" s="37">
        <v>16</v>
      </c>
      <c r="F14" s="37">
        <v>19</v>
      </c>
      <c r="G14" s="37">
        <v>11</v>
      </c>
      <c r="H14" s="37" t="s">
        <v>608</v>
      </c>
      <c r="I14" s="58" t="s">
        <v>608</v>
      </c>
      <c r="J14" s="58" t="s">
        <v>447</v>
      </c>
      <c r="K14" s="58" t="s">
        <v>608</v>
      </c>
      <c r="L14" s="37">
        <v>407</v>
      </c>
    </row>
    <row r="15" spans="1:12" x14ac:dyDescent="0.25">
      <c r="A15" s="36" t="s">
        <v>237</v>
      </c>
      <c r="B15" s="36" t="s">
        <v>245</v>
      </c>
      <c r="C15" s="36" t="s">
        <v>554</v>
      </c>
      <c r="D15" s="37">
        <v>972</v>
      </c>
      <c r="E15" s="37">
        <v>760</v>
      </c>
      <c r="F15" s="37">
        <v>419</v>
      </c>
      <c r="G15" s="37">
        <v>365</v>
      </c>
      <c r="H15" s="37" t="s">
        <v>608</v>
      </c>
      <c r="I15" s="58" t="s">
        <v>608</v>
      </c>
      <c r="J15" s="58" t="s">
        <v>447</v>
      </c>
      <c r="K15" s="58" t="s">
        <v>608</v>
      </c>
      <c r="L15" s="37">
        <v>6830</v>
      </c>
    </row>
    <row r="16" spans="1:12" x14ac:dyDescent="0.25">
      <c r="A16" s="36" t="s">
        <v>237</v>
      </c>
      <c r="B16" s="36" t="s">
        <v>245</v>
      </c>
      <c r="C16" s="36" t="s">
        <v>555</v>
      </c>
      <c r="D16" s="37">
        <v>320279</v>
      </c>
      <c r="E16" s="37">
        <v>228550</v>
      </c>
      <c r="F16" s="37">
        <v>264441</v>
      </c>
      <c r="G16" s="37">
        <v>117574</v>
      </c>
      <c r="H16" s="37">
        <v>88777</v>
      </c>
      <c r="I16" s="58" t="s">
        <v>608</v>
      </c>
      <c r="J16" s="58" t="s">
        <v>447</v>
      </c>
      <c r="K16" s="58" t="s">
        <v>608</v>
      </c>
      <c r="L16" s="37">
        <v>1055127</v>
      </c>
    </row>
    <row r="17" spans="1:12" x14ac:dyDescent="0.25">
      <c r="A17" s="39" t="s">
        <v>237</v>
      </c>
      <c r="B17" s="39" t="s">
        <v>245</v>
      </c>
      <c r="C17" s="39" t="s">
        <v>235</v>
      </c>
      <c r="D17" s="40">
        <v>321251</v>
      </c>
      <c r="E17" s="40">
        <v>229310</v>
      </c>
      <c r="F17" s="40">
        <v>264860</v>
      </c>
      <c r="G17" s="40">
        <v>117939</v>
      </c>
      <c r="H17" s="40">
        <v>93051</v>
      </c>
      <c r="I17" s="57" t="s">
        <v>608</v>
      </c>
      <c r="J17" s="57" t="s">
        <v>447</v>
      </c>
      <c r="K17" s="57" t="s">
        <v>608</v>
      </c>
      <c r="L17" s="40">
        <v>1061957</v>
      </c>
    </row>
    <row r="18" spans="1:12" x14ac:dyDescent="0.25">
      <c r="A18" s="36" t="s">
        <v>237</v>
      </c>
      <c r="B18" s="36" t="s">
        <v>246</v>
      </c>
      <c r="C18" s="36" t="s">
        <v>556</v>
      </c>
      <c r="D18" s="37">
        <v>142</v>
      </c>
      <c r="E18" s="37">
        <v>266</v>
      </c>
      <c r="F18" s="37">
        <v>212</v>
      </c>
      <c r="G18" s="37">
        <v>126</v>
      </c>
      <c r="H18" s="37">
        <v>2929</v>
      </c>
      <c r="I18" s="58" t="s">
        <v>608</v>
      </c>
      <c r="J18" s="58" t="s">
        <v>447</v>
      </c>
      <c r="K18" s="58" t="s">
        <v>608</v>
      </c>
      <c r="L18" s="37">
        <v>3698</v>
      </c>
    </row>
    <row r="19" spans="1:12" x14ac:dyDescent="0.25">
      <c r="A19" s="36" t="s">
        <v>237</v>
      </c>
      <c r="B19" s="36" t="s">
        <v>246</v>
      </c>
      <c r="C19" s="36" t="s">
        <v>557</v>
      </c>
      <c r="D19" s="37">
        <v>285177</v>
      </c>
      <c r="E19" s="37">
        <v>264683</v>
      </c>
      <c r="F19" s="37">
        <v>227305</v>
      </c>
      <c r="G19" s="37">
        <v>107142</v>
      </c>
      <c r="H19" s="37">
        <v>66234</v>
      </c>
      <c r="I19" s="58" t="s">
        <v>608</v>
      </c>
      <c r="J19" s="58" t="s">
        <v>447</v>
      </c>
      <c r="K19" s="58" t="s">
        <v>608</v>
      </c>
      <c r="L19" s="37">
        <v>977682</v>
      </c>
    </row>
    <row r="20" spans="1:12" x14ac:dyDescent="0.25">
      <c r="A20" s="39" t="s">
        <v>237</v>
      </c>
      <c r="B20" s="39" t="s">
        <v>246</v>
      </c>
      <c r="C20" s="39" t="s">
        <v>235</v>
      </c>
      <c r="D20" s="40">
        <v>285319</v>
      </c>
      <c r="E20" s="40">
        <v>264949</v>
      </c>
      <c r="F20" s="40">
        <v>227517</v>
      </c>
      <c r="G20" s="40">
        <v>107268</v>
      </c>
      <c r="H20" s="40">
        <v>69163</v>
      </c>
      <c r="I20" s="57" t="s">
        <v>608</v>
      </c>
      <c r="J20" s="57" t="s">
        <v>447</v>
      </c>
      <c r="K20" s="57" t="s">
        <v>608</v>
      </c>
      <c r="L20" s="40">
        <v>981380</v>
      </c>
    </row>
    <row r="21" spans="1:12" x14ac:dyDescent="0.25">
      <c r="A21" s="36" t="s">
        <v>237</v>
      </c>
      <c r="B21" s="36" t="s">
        <v>236</v>
      </c>
      <c r="C21" s="36" t="s">
        <v>558</v>
      </c>
      <c r="D21" s="37">
        <v>1405</v>
      </c>
      <c r="E21" s="37">
        <v>2009</v>
      </c>
      <c r="F21" s="37">
        <v>2510</v>
      </c>
      <c r="G21" s="37">
        <v>1690</v>
      </c>
      <c r="H21" s="37">
        <v>3091</v>
      </c>
      <c r="I21" s="58" t="s">
        <v>608</v>
      </c>
      <c r="J21" s="58" t="s">
        <v>447</v>
      </c>
      <c r="K21" s="58" t="s">
        <v>608</v>
      </c>
      <c r="L21" s="37">
        <v>10730</v>
      </c>
    </row>
    <row r="22" spans="1:12" x14ac:dyDescent="0.25">
      <c r="A22" s="36" t="s">
        <v>237</v>
      </c>
      <c r="B22" s="36" t="s">
        <v>236</v>
      </c>
      <c r="C22" s="36" t="s">
        <v>559</v>
      </c>
      <c r="D22" s="37">
        <v>288129</v>
      </c>
      <c r="E22" s="37">
        <v>265807</v>
      </c>
      <c r="F22" s="37">
        <v>360269</v>
      </c>
      <c r="G22" s="37">
        <v>217641</v>
      </c>
      <c r="H22" s="37">
        <v>109435</v>
      </c>
      <c r="I22" s="58" t="s">
        <v>608</v>
      </c>
      <c r="J22" s="58" t="s">
        <v>447</v>
      </c>
      <c r="K22" s="58" t="s">
        <v>608</v>
      </c>
      <c r="L22" s="37">
        <v>1268529</v>
      </c>
    </row>
    <row r="23" spans="1:12" x14ac:dyDescent="0.25">
      <c r="A23" s="39" t="s">
        <v>237</v>
      </c>
      <c r="B23" s="39" t="s">
        <v>236</v>
      </c>
      <c r="C23" s="39" t="s">
        <v>235</v>
      </c>
      <c r="D23" s="40">
        <v>289534</v>
      </c>
      <c r="E23" s="40">
        <v>267816</v>
      </c>
      <c r="F23" s="40">
        <v>362779</v>
      </c>
      <c r="G23" s="40">
        <v>219331</v>
      </c>
      <c r="H23" s="40">
        <v>112526</v>
      </c>
      <c r="I23" s="57" t="s">
        <v>608</v>
      </c>
      <c r="J23" s="57" t="s">
        <v>447</v>
      </c>
      <c r="K23" s="57" t="s">
        <v>608</v>
      </c>
      <c r="L23" s="40">
        <v>1279259</v>
      </c>
    </row>
    <row r="24" spans="1:12" x14ac:dyDescent="0.25">
      <c r="A24" s="47" t="s">
        <v>237</v>
      </c>
      <c r="B24" s="47" t="s">
        <v>235</v>
      </c>
      <c r="C24" s="47" t="s">
        <v>235</v>
      </c>
      <c r="D24" s="48">
        <v>896120</v>
      </c>
      <c r="E24" s="48">
        <v>762091</v>
      </c>
      <c r="F24" s="48">
        <v>855175</v>
      </c>
      <c r="G24" s="48">
        <v>444549</v>
      </c>
      <c r="H24" s="48">
        <v>274743</v>
      </c>
      <c r="I24" s="62" t="s">
        <v>608</v>
      </c>
      <c r="J24" s="62" t="s">
        <v>447</v>
      </c>
      <c r="K24" s="62" t="s">
        <v>608</v>
      </c>
      <c r="L24" s="48">
        <v>3323003</v>
      </c>
    </row>
    <row r="25" spans="1:12" ht="15.75" thickBot="1" x14ac:dyDescent="0.3">
      <c r="A25" s="42" t="s">
        <v>238</v>
      </c>
      <c r="B25" s="42" t="s">
        <v>235</v>
      </c>
      <c r="C25" s="42" t="s">
        <v>235</v>
      </c>
      <c r="D25" s="43">
        <v>1834297</v>
      </c>
      <c r="E25" s="43">
        <v>2080461</v>
      </c>
      <c r="F25" s="43">
        <v>1915374</v>
      </c>
      <c r="G25" s="43">
        <v>819825</v>
      </c>
      <c r="H25" s="43">
        <v>536654</v>
      </c>
      <c r="I25" s="63" t="s">
        <v>608</v>
      </c>
      <c r="J25" s="63" t="s">
        <v>447</v>
      </c>
      <c r="K25" s="63" t="s">
        <v>608</v>
      </c>
      <c r="L25" s="43">
        <v>7595952</v>
      </c>
    </row>
    <row r="26" spans="1:12" x14ac:dyDescent="0.25">
      <c r="A26" s="76" t="s">
        <v>561</v>
      </c>
      <c r="B26" s="77"/>
      <c r="C26" s="77"/>
      <c r="D26" s="77"/>
      <c r="E26" s="77"/>
      <c r="F26" s="77"/>
      <c r="G26" s="77"/>
      <c r="H26" s="77"/>
      <c r="I26" s="77"/>
      <c r="J26" s="77"/>
      <c r="K26" s="77"/>
      <c r="L26" s="77"/>
    </row>
    <row r="27" spans="1:12" x14ac:dyDescent="0.25">
      <c r="A27" s="45"/>
      <c r="B27" s="33"/>
      <c r="C27" s="33"/>
      <c r="D27" s="33"/>
      <c r="E27" s="33"/>
      <c r="F27" s="33"/>
      <c r="G27" s="33"/>
      <c r="H27" s="33"/>
      <c r="I27" s="33"/>
      <c r="J27" s="33"/>
      <c r="K27" s="33"/>
      <c r="L27" s="33"/>
    </row>
    <row r="28" spans="1:12" x14ac:dyDescent="0.25">
      <c r="A28" s="33" t="s">
        <v>239</v>
      </c>
      <c r="B28" s="33"/>
      <c r="C28" s="33"/>
      <c r="D28" s="33"/>
      <c r="E28" s="33"/>
      <c r="F28" s="33"/>
      <c r="G28" s="33"/>
      <c r="H28" s="33"/>
      <c r="I28" s="33"/>
      <c r="J28" s="33"/>
      <c r="K28" s="33"/>
      <c r="L28" s="33"/>
    </row>
    <row r="29" spans="1:12" x14ac:dyDescent="0.25">
      <c r="A29" s="46" t="s">
        <v>212</v>
      </c>
      <c r="B29" s="33"/>
      <c r="C29" s="33"/>
      <c r="D29" s="33"/>
      <c r="E29" s="33"/>
      <c r="F29" s="33"/>
      <c r="G29" s="33"/>
      <c r="H29" s="33"/>
      <c r="I29" s="33"/>
      <c r="J29" s="33"/>
      <c r="K29" s="33"/>
      <c r="L29" s="33"/>
    </row>
    <row r="30" spans="1:12" x14ac:dyDescent="0.25">
      <c r="A30" s="33"/>
      <c r="B30" s="33"/>
      <c r="C30" s="33"/>
      <c r="D30" s="33"/>
      <c r="E30" s="33"/>
      <c r="F30" s="33"/>
      <c r="G30" s="33"/>
      <c r="H30" s="33"/>
      <c r="I30" s="33"/>
      <c r="J30" s="33"/>
      <c r="K30" s="33"/>
      <c r="L30" s="33"/>
    </row>
    <row r="31" spans="1:12" x14ac:dyDescent="0.25">
      <c r="A31" s="46" t="s">
        <v>70</v>
      </c>
      <c r="B31" s="33"/>
      <c r="C31" s="33"/>
      <c r="D31" s="33"/>
      <c r="E31" s="33"/>
      <c r="F31" s="33"/>
      <c r="G31" s="33"/>
      <c r="H31" s="33"/>
      <c r="I31" s="33"/>
      <c r="J31" s="33"/>
      <c r="K31" s="33"/>
      <c r="L31" s="33"/>
    </row>
    <row r="32" spans="1:12" x14ac:dyDescent="0.25">
      <c r="A32" s="33"/>
      <c r="B32" s="33"/>
      <c r="C32" s="33"/>
      <c r="D32" s="33"/>
      <c r="E32" s="33"/>
      <c r="F32" s="33"/>
      <c r="G32" s="33"/>
      <c r="H32" s="33"/>
      <c r="I32" s="33"/>
      <c r="J32" s="33"/>
      <c r="K32" s="33"/>
      <c r="L32" s="33"/>
    </row>
    <row r="33" spans="1:12" x14ac:dyDescent="0.25">
      <c r="A33" s="46" t="s">
        <v>240</v>
      </c>
      <c r="B33" s="33"/>
      <c r="C33" s="33"/>
      <c r="D33" s="33"/>
      <c r="E33" s="33"/>
      <c r="F33" s="33"/>
      <c r="G33" s="33"/>
      <c r="H33" s="33"/>
      <c r="I33" s="33"/>
      <c r="J33" s="33"/>
      <c r="K33" s="33"/>
      <c r="L33" s="33"/>
    </row>
  </sheetData>
  <mergeCells count="2">
    <mergeCell ref="A26:L26"/>
    <mergeCell ref="A1:L1"/>
  </mergeCells>
  <hyperlinks>
    <hyperlink ref="A29" r:id="rId1" xr:uid="{00000000-0004-0000-2D00-000000000000}"/>
    <hyperlink ref="A31" location="'Technical specifications'!A1" display="Technical specifications" xr:uid="{00000000-0004-0000-2D00-000001000000}"/>
    <hyperlink ref="A33" location="Contents!A1" display="Back to contents" xr:uid="{00000000-0004-0000-2D00-000002000000}"/>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33"/>
  <sheetViews>
    <sheetView workbookViewId="0">
      <selection sqref="A1:L1"/>
    </sheetView>
  </sheetViews>
  <sheetFormatPr defaultRowHeight="15" x14ac:dyDescent="0.25"/>
  <cols>
    <col min="1" max="1" width="17" customWidth="1"/>
    <col min="2" max="2" width="31" customWidth="1"/>
    <col min="3" max="3" width="46" customWidth="1"/>
    <col min="4" max="12" width="8.42578125" customWidth="1"/>
  </cols>
  <sheetData>
    <row r="1" spans="1:12" ht="33.75" customHeight="1" x14ac:dyDescent="0.25">
      <c r="A1" s="74" t="s">
        <v>46</v>
      </c>
      <c r="B1" s="75"/>
      <c r="C1" s="75"/>
      <c r="D1" s="75"/>
      <c r="E1" s="75"/>
      <c r="F1" s="75"/>
      <c r="G1" s="75"/>
      <c r="H1" s="75"/>
      <c r="I1" s="75"/>
      <c r="J1" s="75"/>
      <c r="K1" s="75"/>
      <c r="L1" s="75"/>
    </row>
    <row r="2" spans="1:12" x14ac:dyDescent="0.25">
      <c r="A2" s="34" t="s">
        <v>214</v>
      </c>
      <c r="B2" s="34" t="s">
        <v>215</v>
      </c>
      <c r="C2" s="34" t="s">
        <v>560</v>
      </c>
      <c r="D2" s="35" t="s">
        <v>338</v>
      </c>
      <c r="E2" s="35" t="s">
        <v>339</v>
      </c>
      <c r="F2" s="35" t="s">
        <v>340</v>
      </c>
      <c r="G2" s="35" t="s">
        <v>341</v>
      </c>
      <c r="H2" s="35" t="s">
        <v>342</v>
      </c>
      <c r="I2" s="35" t="s">
        <v>343</v>
      </c>
      <c r="J2" s="35" t="s">
        <v>344</v>
      </c>
      <c r="K2" s="35" t="s">
        <v>345</v>
      </c>
      <c r="L2" s="35" t="s">
        <v>235</v>
      </c>
    </row>
    <row r="3" spans="1:12" x14ac:dyDescent="0.25">
      <c r="A3" s="36" t="s">
        <v>224</v>
      </c>
      <c r="B3" s="36" t="s">
        <v>225</v>
      </c>
      <c r="C3" s="36" t="s">
        <v>225</v>
      </c>
      <c r="D3" s="37">
        <v>64214</v>
      </c>
      <c r="E3" s="37">
        <v>56515</v>
      </c>
      <c r="F3" s="37">
        <v>41574</v>
      </c>
      <c r="G3" s="37">
        <v>21985</v>
      </c>
      <c r="H3" s="37">
        <v>13805</v>
      </c>
      <c r="I3" s="37">
        <v>4153</v>
      </c>
      <c r="J3" s="37">
        <v>4695</v>
      </c>
      <c r="K3" s="37">
        <v>2842</v>
      </c>
      <c r="L3" s="37">
        <v>209783</v>
      </c>
    </row>
    <row r="4" spans="1:12" x14ac:dyDescent="0.25">
      <c r="A4" s="36" t="s">
        <v>224</v>
      </c>
      <c r="B4" s="36" t="s">
        <v>226</v>
      </c>
      <c r="C4" s="36" t="s">
        <v>562</v>
      </c>
      <c r="D4" s="37">
        <v>92087</v>
      </c>
      <c r="E4" s="37">
        <v>73035</v>
      </c>
      <c r="F4" s="37">
        <v>63841</v>
      </c>
      <c r="G4" s="37">
        <v>33457</v>
      </c>
      <c r="H4" s="37">
        <v>20647</v>
      </c>
      <c r="I4" s="37">
        <v>6932</v>
      </c>
      <c r="J4" s="37">
        <v>7715</v>
      </c>
      <c r="K4" s="37">
        <v>5835</v>
      </c>
      <c r="L4" s="37">
        <v>303549</v>
      </c>
    </row>
    <row r="5" spans="1:12" x14ac:dyDescent="0.25">
      <c r="A5" s="36" t="s">
        <v>224</v>
      </c>
      <c r="B5" s="36" t="s">
        <v>226</v>
      </c>
      <c r="C5" s="36" t="s">
        <v>563</v>
      </c>
      <c r="D5" s="37">
        <v>97133</v>
      </c>
      <c r="E5" s="37">
        <v>96679</v>
      </c>
      <c r="F5" s="37">
        <v>73077</v>
      </c>
      <c r="G5" s="37">
        <v>37130</v>
      </c>
      <c r="H5" s="37">
        <v>25176</v>
      </c>
      <c r="I5" s="37">
        <v>9047</v>
      </c>
      <c r="J5" s="37">
        <v>7393</v>
      </c>
      <c r="K5" s="37">
        <v>3004</v>
      </c>
      <c r="L5" s="37">
        <v>348639</v>
      </c>
    </row>
    <row r="6" spans="1:12" x14ac:dyDescent="0.25">
      <c r="A6" s="39" t="s">
        <v>224</v>
      </c>
      <c r="B6" s="39" t="s">
        <v>226</v>
      </c>
      <c r="C6" s="39" t="s">
        <v>235</v>
      </c>
      <c r="D6" s="40">
        <v>189220</v>
      </c>
      <c r="E6" s="40">
        <v>169714</v>
      </c>
      <c r="F6" s="40">
        <v>136918</v>
      </c>
      <c r="G6" s="40">
        <v>70587</v>
      </c>
      <c r="H6" s="40">
        <v>45823</v>
      </c>
      <c r="I6" s="40">
        <v>15979</v>
      </c>
      <c r="J6" s="40">
        <v>15108</v>
      </c>
      <c r="K6" s="40">
        <v>8839</v>
      </c>
      <c r="L6" s="40">
        <v>652188</v>
      </c>
    </row>
    <row r="7" spans="1:12" x14ac:dyDescent="0.25">
      <c r="A7" s="36" t="s">
        <v>224</v>
      </c>
      <c r="B7" s="36" t="s">
        <v>229</v>
      </c>
      <c r="C7" s="36" t="s">
        <v>564</v>
      </c>
      <c r="D7" s="37">
        <v>31885</v>
      </c>
      <c r="E7" s="37">
        <v>21126</v>
      </c>
      <c r="F7" s="37">
        <v>19885</v>
      </c>
      <c r="G7" s="37">
        <v>9331</v>
      </c>
      <c r="H7" s="37">
        <v>5498</v>
      </c>
      <c r="I7" s="37">
        <v>2239</v>
      </c>
      <c r="J7" s="37">
        <v>2214</v>
      </c>
      <c r="K7" s="37">
        <v>1189</v>
      </c>
      <c r="L7" s="37">
        <v>93367</v>
      </c>
    </row>
    <row r="8" spans="1:12" x14ac:dyDescent="0.25">
      <c r="A8" s="36" t="s">
        <v>224</v>
      </c>
      <c r="B8" s="36" t="s">
        <v>229</v>
      </c>
      <c r="C8" s="36" t="s">
        <v>565</v>
      </c>
      <c r="D8" s="37">
        <v>7809</v>
      </c>
      <c r="E8" s="37">
        <v>8919</v>
      </c>
      <c r="F8" s="37">
        <v>7815</v>
      </c>
      <c r="G8" s="37">
        <v>2860</v>
      </c>
      <c r="H8" s="37">
        <v>1711</v>
      </c>
      <c r="I8" s="37">
        <v>798</v>
      </c>
      <c r="J8" s="37">
        <v>469</v>
      </c>
      <c r="K8" s="37">
        <v>332</v>
      </c>
      <c r="L8" s="37">
        <v>30713</v>
      </c>
    </row>
    <row r="9" spans="1:12" x14ac:dyDescent="0.25">
      <c r="A9" s="39" t="s">
        <v>224</v>
      </c>
      <c r="B9" s="39" t="s">
        <v>229</v>
      </c>
      <c r="C9" s="39" t="s">
        <v>235</v>
      </c>
      <c r="D9" s="40">
        <v>39694</v>
      </c>
      <c r="E9" s="40">
        <v>30045</v>
      </c>
      <c r="F9" s="40">
        <v>27700</v>
      </c>
      <c r="G9" s="40">
        <v>12191</v>
      </c>
      <c r="H9" s="40">
        <v>7209</v>
      </c>
      <c r="I9" s="40">
        <v>3037</v>
      </c>
      <c r="J9" s="40">
        <v>2683</v>
      </c>
      <c r="K9" s="40">
        <v>1521</v>
      </c>
      <c r="L9" s="40">
        <v>124080</v>
      </c>
    </row>
    <row r="10" spans="1:12" x14ac:dyDescent="0.25">
      <c r="A10" s="36" t="s">
        <v>224</v>
      </c>
      <c r="B10" s="36" t="s">
        <v>236</v>
      </c>
      <c r="C10" s="36" t="s">
        <v>566</v>
      </c>
      <c r="D10" s="37">
        <v>513887</v>
      </c>
      <c r="E10" s="37">
        <v>386645</v>
      </c>
      <c r="F10" s="37">
        <v>376442</v>
      </c>
      <c r="G10" s="37">
        <v>160189</v>
      </c>
      <c r="H10" s="37">
        <v>116488</v>
      </c>
      <c r="I10" s="37">
        <v>34754</v>
      </c>
      <c r="J10" s="37">
        <v>32087</v>
      </c>
      <c r="K10" s="37">
        <v>32717</v>
      </c>
      <c r="L10" s="37">
        <v>1653209</v>
      </c>
    </row>
    <row r="11" spans="1:12" x14ac:dyDescent="0.25">
      <c r="A11" s="36" t="s">
        <v>224</v>
      </c>
      <c r="B11" s="36" t="s">
        <v>236</v>
      </c>
      <c r="C11" s="36" t="s">
        <v>567</v>
      </c>
      <c r="D11" s="37">
        <v>107605</v>
      </c>
      <c r="E11" s="37">
        <v>103461</v>
      </c>
      <c r="F11" s="37">
        <v>74151</v>
      </c>
      <c r="G11" s="37">
        <v>23011</v>
      </c>
      <c r="H11" s="37">
        <v>28888</v>
      </c>
      <c r="I11" s="37">
        <v>8007</v>
      </c>
      <c r="J11" s="37">
        <v>6447</v>
      </c>
      <c r="K11" s="37">
        <v>3982</v>
      </c>
      <c r="L11" s="37">
        <v>355552</v>
      </c>
    </row>
    <row r="12" spans="1:12" x14ac:dyDescent="0.25">
      <c r="A12" s="39" t="s">
        <v>224</v>
      </c>
      <c r="B12" s="39" t="s">
        <v>236</v>
      </c>
      <c r="C12" s="39" t="s">
        <v>235</v>
      </c>
      <c r="D12" s="40">
        <v>621492</v>
      </c>
      <c r="E12" s="40">
        <v>490106</v>
      </c>
      <c r="F12" s="40">
        <v>450593</v>
      </c>
      <c r="G12" s="40">
        <v>183200</v>
      </c>
      <c r="H12" s="40">
        <v>145376</v>
      </c>
      <c r="I12" s="40">
        <v>42761</v>
      </c>
      <c r="J12" s="40">
        <v>38534</v>
      </c>
      <c r="K12" s="40">
        <v>36699</v>
      </c>
      <c r="L12" s="40">
        <v>2008761</v>
      </c>
    </row>
    <row r="13" spans="1:12" x14ac:dyDescent="0.25">
      <c r="A13" s="47" t="s">
        <v>224</v>
      </c>
      <c r="B13" s="47" t="s">
        <v>235</v>
      </c>
      <c r="C13" s="47" t="s">
        <v>235</v>
      </c>
      <c r="D13" s="48">
        <v>914620</v>
      </c>
      <c r="E13" s="48">
        <v>746380</v>
      </c>
      <c r="F13" s="48">
        <v>656785</v>
      </c>
      <c r="G13" s="48">
        <v>287963</v>
      </c>
      <c r="H13" s="48">
        <v>212213</v>
      </c>
      <c r="I13" s="48">
        <v>65930</v>
      </c>
      <c r="J13" s="48">
        <v>61020</v>
      </c>
      <c r="K13" s="48">
        <v>49901</v>
      </c>
      <c r="L13" s="48">
        <v>2994812</v>
      </c>
    </row>
    <row r="14" spans="1:12" x14ac:dyDescent="0.25">
      <c r="A14" s="36" t="s">
        <v>237</v>
      </c>
      <c r="B14" s="36" t="s">
        <v>225</v>
      </c>
      <c r="C14" s="36" t="s">
        <v>225</v>
      </c>
      <c r="D14" s="37">
        <v>18954</v>
      </c>
      <c r="E14" s="37">
        <v>15921</v>
      </c>
      <c r="F14" s="37">
        <v>11969</v>
      </c>
      <c r="G14" s="37">
        <v>6837</v>
      </c>
      <c r="H14" s="37">
        <v>3353</v>
      </c>
      <c r="I14" s="58" t="s">
        <v>608</v>
      </c>
      <c r="J14" s="58" t="s">
        <v>447</v>
      </c>
      <c r="K14" s="58" t="s">
        <v>608</v>
      </c>
      <c r="L14" s="37">
        <v>58153</v>
      </c>
    </row>
    <row r="15" spans="1:12" x14ac:dyDescent="0.25">
      <c r="A15" s="36" t="s">
        <v>237</v>
      </c>
      <c r="B15" s="36" t="s">
        <v>226</v>
      </c>
      <c r="C15" s="36" t="s">
        <v>562</v>
      </c>
      <c r="D15" s="37">
        <v>6402</v>
      </c>
      <c r="E15" s="37">
        <v>13540</v>
      </c>
      <c r="F15" s="37">
        <v>8767</v>
      </c>
      <c r="G15" s="37">
        <v>5618</v>
      </c>
      <c r="H15" s="37">
        <v>3543</v>
      </c>
      <c r="I15" s="58" t="s">
        <v>608</v>
      </c>
      <c r="J15" s="58" t="s">
        <v>447</v>
      </c>
      <c r="K15" s="58" t="s">
        <v>608</v>
      </c>
      <c r="L15" s="37">
        <v>38331</v>
      </c>
    </row>
    <row r="16" spans="1:12" x14ac:dyDescent="0.25">
      <c r="A16" s="36" t="s">
        <v>237</v>
      </c>
      <c r="B16" s="36" t="s">
        <v>226</v>
      </c>
      <c r="C16" s="36" t="s">
        <v>563</v>
      </c>
      <c r="D16" s="37">
        <v>185028</v>
      </c>
      <c r="E16" s="37">
        <v>159506</v>
      </c>
      <c r="F16" s="37">
        <v>157129</v>
      </c>
      <c r="G16" s="37">
        <v>78016</v>
      </c>
      <c r="H16" s="37">
        <v>55770</v>
      </c>
      <c r="I16" s="58" t="s">
        <v>608</v>
      </c>
      <c r="J16" s="58" t="s">
        <v>447</v>
      </c>
      <c r="K16" s="58" t="s">
        <v>608</v>
      </c>
      <c r="L16" s="37">
        <v>653082</v>
      </c>
    </row>
    <row r="17" spans="1:12" x14ac:dyDescent="0.25">
      <c r="A17" s="39" t="s">
        <v>237</v>
      </c>
      <c r="B17" s="39" t="s">
        <v>226</v>
      </c>
      <c r="C17" s="39" t="s">
        <v>235</v>
      </c>
      <c r="D17" s="40">
        <v>191430</v>
      </c>
      <c r="E17" s="40">
        <v>173046</v>
      </c>
      <c r="F17" s="40">
        <v>165896</v>
      </c>
      <c r="G17" s="40">
        <v>83634</v>
      </c>
      <c r="H17" s="40">
        <v>59313</v>
      </c>
      <c r="I17" s="57" t="s">
        <v>608</v>
      </c>
      <c r="J17" s="57" t="s">
        <v>447</v>
      </c>
      <c r="K17" s="57" t="s">
        <v>608</v>
      </c>
      <c r="L17" s="40">
        <v>691413</v>
      </c>
    </row>
    <row r="18" spans="1:12" x14ac:dyDescent="0.25">
      <c r="A18" s="36" t="s">
        <v>237</v>
      </c>
      <c r="B18" s="36" t="s">
        <v>229</v>
      </c>
      <c r="C18" s="36" t="s">
        <v>564</v>
      </c>
      <c r="D18" s="37">
        <v>2166</v>
      </c>
      <c r="E18" s="37">
        <v>5239</v>
      </c>
      <c r="F18" s="37">
        <v>3401</v>
      </c>
      <c r="G18" s="37">
        <v>1675</v>
      </c>
      <c r="H18" s="37">
        <v>1022</v>
      </c>
      <c r="I18" s="58" t="s">
        <v>608</v>
      </c>
      <c r="J18" s="58" t="s">
        <v>447</v>
      </c>
      <c r="K18" s="58" t="s">
        <v>608</v>
      </c>
      <c r="L18" s="37">
        <v>13630</v>
      </c>
    </row>
    <row r="19" spans="1:12" x14ac:dyDescent="0.25">
      <c r="A19" s="36" t="s">
        <v>237</v>
      </c>
      <c r="B19" s="36" t="s">
        <v>229</v>
      </c>
      <c r="C19" s="36" t="s">
        <v>565</v>
      </c>
      <c r="D19" s="37">
        <v>10295</v>
      </c>
      <c r="E19" s="37">
        <v>11421</v>
      </c>
      <c r="F19" s="37">
        <v>11117</v>
      </c>
      <c r="G19" s="37">
        <v>1664</v>
      </c>
      <c r="H19" s="37">
        <v>2611</v>
      </c>
      <c r="I19" s="58" t="s">
        <v>608</v>
      </c>
      <c r="J19" s="58" t="s">
        <v>447</v>
      </c>
      <c r="K19" s="58" t="s">
        <v>608</v>
      </c>
      <c r="L19" s="37">
        <v>37964</v>
      </c>
    </row>
    <row r="20" spans="1:12" x14ac:dyDescent="0.25">
      <c r="A20" s="39" t="s">
        <v>237</v>
      </c>
      <c r="B20" s="39" t="s">
        <v>229</v>
      </c>
      <c r="C20" s="39" t="s">
        <v>235</v>
      </c>
      <c r="D20" s="40">
        <v>12461</v>
      </c>
      <c r="E20" s="40">
        <v>16660</v>
      </c>
      <c r="F20" s="40">
        <v>14518</v>
      </c>
      <c r="G20" s="40">
        <v>3339</v>
      </c>
      <c r="H20" s="40">
        <v>3633</v>
      </c>
      <c r="I20" s="57" t="s">
        <v>608</v>
      </c>
      <c r="J20" s="57" t="s">
        <v>447</v>
      </c>
      <c r="K20" s="57" t="s">
        <v>608</v>
      </c>
      <c r="L20" s="40">
        <v>51594</v>
      </c>
    </row>
    <row r="21" spans="1:12" x14ac:dyDescent="0.25">
      <c r="A21" s="36" t="s">
        <v>237</v>
      </c>
      <c r="B21" s="36" t="s">
        <v>236</v>
      </c>
      <c r="C21" s="36" t="s">
        <v>566</v>
      </c>
      <c r="D21" s="37">
        <v>24538</v>
      </c>
      <c r="E21" s="37">
        <v>52568</v>
      </c>
      <c r="F21" s="37">
        <v>50632</v>
      </c>
      <c r="G21" s="37">
        <v>24248</v>
      </c>
      <c r="H21" s="37">
        <v>10191</v>
      </c>
      <c r="I21" s="58" t="s">
        <v>608</v>
      </c>
      <c r="J21" s="58" t="s">
        <v>447</v>
      </c>
      <c r="K21" s="58" t="s">
        <v>608</v>
      </c>
      <c r="L21" s="37">
        <v>164010</v>
      </c>
    </row>
    <row r="22" spans="1:12" x14ac:dyDescent="0.25">
      <c r="A22" s="36" t="s">
        <v>237</v>
      </c>
      <c r="B22" s="36" t="s">
        <v>236</v>
      </c>
      <c r="C22" s="36" t="s">
        <v>567</v>
      </c>
      <c r="D22" s="37">
        <v>41731</v>
      </c>
      <c r="E22" s="37">
        <v>46528</v>
      </c>
      <c r="F22" s="37">
        <v>67841</v>
      </c>
      <c r="G22" s="37">
        <v>12061</v>
      </c>
      <c r="H22" s="37">
        <v>12507</v>
      </c>
      <c r="I22" s="58" t="s">
        <v>608</v>
      </c>
      <c r="J22" s="58" t="s">
        <v>447</v>
      </c>
      <c r="K22" s="58" t="s">
        <v>608</v>
      </c>
      <c r="L22" s="37">
        <v>186888</v>
      </c>
    </row>
    <row r="23" spans="1:12" x14ac:dyDescent="0.25">
      <c r="A23" s="39" t="s">
        <v>237</v>
      </c>
      <c r="B23" s="39" t="s">
        <v>236</v>
      </c>
      <c r="C23" s="39" t="s">
        <v>235</v>
      </c>
      <c r="D23" s="40">
        <v>66269</v>
      </c>
      <c r="E23" s="40">
        <v>99096</v>
      </c>
      <c r="F23" s="40">
        <v>118473</v>
      </c>
      <c r="G23" s="40">
        <v>36309</v>
      </c>
      <c r="H23" s="40">
        <v>22698</v>
      </c>
      <c r="I23" s="57" t="s">
        <v>608</v>
      </c>
      <c r="J23" s="57" t="s">
        <v>447</v>
      </c>
      <c r="K23" s="57" t="s">
        <v>608</v>
      </c>
      <c r="L23" s="40">
        <v>350898</v>
      </c>
    </row>
    <row r="24" spans="1:12" x14ac:dyDescent="0.25">
      <c r="A24" s="47" t="s">
        <v>237</v>
      </c>
      <c r="B24" s="47" t="s">
        <v>235</v>
      </c>
      <c r="C24" s="47" t="s">
        <v>235</v>
      </c>
      <c r="D24" s="48">
        <v>289114</v>
      </c>
      <c r="E24" s="48">
        <v>304723</v>
      </c>
      <c r="F24" s="48">
        <v>310856</v>
      </c>
      <c r="G24" s="48">
        <v>130119</v>
      </c>
      <c r="H24" s="48">
        <v>88997</v>
      </c>
      <c r="I24" s="62" t="s">
        <v>608</v>
      </c>
      <c r="J24" s="62" t="s">
        <v>447</v>
      </c>
      <c r="K24" s="62" t="s">
        <v>608</v>
      </c>
      <c r="L24" s="48">
        <v>1152058</v>
      </c>
    </row>
    <row r="25" spans="1:12" x14ac:dyDescent="0.25">
      <c r="A25" s="42" t="s">
        <v>238</v>
      </c>
      <c r="B25" s="42" t="s">
        <v>235</v>
      </c>
      <c r="C25" s="42" t="s">
        <v>235</v>
      </c>
      <c r="D25" s="43">
        <v>1203734</v>
      </c>
      <c r="E25" s="43">
        <v>1051103</v>
      </c>
      <c r="F25" s="43">
        <v>967641</v>
      </c>
      <c r="G25" s="43">
        <v>418082</v>
      </c>
      <c r="H25" s="43">
        <v>301210</v>
      </c>
      <c r="I25" s="63" t="s">
        <v>608</v>
      </c>
      <c r="J25" s="63" t="s">
        <v>447</v>
      </c>
      <c r="K25" s="63" t="s">
        <v>608</v>
      </c>
      <c r="L25" s="43">
        <v>4146870</v>
      </c>
    </row>
    <row r="26" spans="1:12" x14ac:dyDescent="0.25">
      <c r="A26" s="76" t="s">
        <v>561</v>
      </c>
      <c r="B26" s="77"/>
      <c r="C26" s="77"/>
      <c r="D26" s="77"/>
      <c r="E26" s="77"/>
      <c r="F26" s="77"/>
      <c r="G26" s="77"/>
      <c r="H26" s="77"/>
      <c r="I26" s="77"/>
      <c r="J26" s="77"/>
      <c r="K26" s="77"/>
      <c r="L26" s="77"/>
    </row>
    <row r="27" spans="1:12" x14ac:dyDescent="0.25">
      <c r="A27" s="45"/>
      <c r="B27" s="33"/>
      <c r="C27" s="33"/>
      <c r="D27" s="33"/>
      <c r="E27" s="33"/>
      <c r="F27" s="33"/>
      <c r="G27" s="33"/>
      <c r="H27" s="33"/>
      <c r="I27" s="33"/>
      <c r="J27" s="33"/>
      <c r="K27" s="33"/>
      <c r="L27" s="33"/>
    </row>
    <row r="28" spans="1:12" x14ac:dyDescent="0.25">
      <c r="A28" s="33" t="s">
        <v>239</v>
      </c>
      <c r="B28" s="33"/>
      <c r="C28" s="33"/>
      <c r="D28" s="33"/>
      <c r="E28" s="33"/>
      <c r="F28" s="33"/>
      <c r="G28" s="33"/>
      <c r="H28" s="33"/>
      <c r="I28" s="33"/>
      <c r="J28" s="33"/>
      <c r="K28" s="33"/>
      <c r="L28" s="33"/>
    </row>
    <row r="29" spans="1:12" x14ac:dyDescent="0.25">
      <c r="A29" s="46" t="s">
        <v>212</v>
      </c>
      <c r="B29" s="33"/>
      <c r="C29" s="33"/>
      <c r="D29" s="33"/>
      <c r="E29" s="33"/>
      <c r="F29" s="33"/>
      <c r="G29" s="33"/>
      <c r="H29" s="33"/>
      <c r="I29" s="33"/>
      <c r="J29" s="33"/>
      <c r="K29" s="33"/>
      <c r="L29" s="33"/>
    </row>
    <row r="30" spans="1:12" x14ac:dyDescent="0.25">
      <c r="A30" s="33"/>
      <c r="B30" s="33"/>
      <c r="C30" s="33"/>
      <c r="D30" s="33"/>
      <c r="E30" s="33"/>
      <c r="F30" s="33"/>
      <c r="G30" s="33"/>
      <c r="H30" s="33"/>
      <c r="I30" s="33"/>
      <c r="J30" s="33"/>
      <c r="K30" s="33"/>
      <c r="L30" s="33"/>
    </row>
    <row r="31" spans="1:12" x14ac:dyDescent="0.25">
      <c r="A31" s="46" t="s">
        <v>70</v>
      </c>
      <c r="B31" s="33"/>
      <c r="C31" s="33"/>
      <c r="D31" s="33"/>
      <c r="E31" s="33"/>
      <c r="F31" s="33"/>
      <c r="G31" s="33"/>
      <c r="H31" s="33"/>
      <c r="I31" s="33"/>
      <c r="J31" s="33"/>
      <c r="K31" s="33"/>
      <c r="L31" s="33"/>
    </row>
    <row r="32" spans="1:12" x14ac:dyDescent="0.25">
      <c r="A32" s="33"/>
      <c r="B32" s="33"/>
      <c r="C32" s="33"/>
      <c r="D32" s="33"/>
      <c r="E32" s="33"/>
      <c r="F32" s="33"/>
      <c r="G32" s="33"/>
      <c r="H32" s="33"/>
      <c r="I32" s="33"/>
      <c r="J32" s="33"/>
      <c r="K32" s="33"/>
      <c r="L32" s="33"/>
    </row>
    <row r="33" spans="1:12" x14ac:dyDescent="0.25">
      <c r="A33" s="46" t="s">
        <v>240</v>
      </c>
      <c r="B33" s="33"/>
      <c r="C33" s="33"/>
      <c r="D33" s="33"/>
      <c r="E33" s="33"/>
      <c r="F33" s="33"/>
      <c r="G33" s="33"/>
      <c r="H33" s="33"/>
      <c r="I33" s="33"/>
      <c r="J33" s="33"/>
      <c r="K33" s="33"/>
      <c r="L33" s="33"/>
    </row>
  </sheetData>
  <mergeCells count="2">
    <mergeCell ref="A26:L26"/>
    <mergeCell ref="A1:L1"/>
  </mergeCells>
  <hyperlinks>
    <hyperlink ref="A29" r:id="rId1" xr:uid="{00000000-0004-0000-2E00-000000000000}"/>
    <hyperlink ref="A31" location="'Technical specifications'!A1" display="Technical specifications" xr:uid="{00000000-0004-0000-2E00-000001000000}"/>
    <hyperlink ref="A33" location="Contents!A1" display="Back to contents" xr:uid="{00000000-0004-0000-2E00-000002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38"/>
  <sheetViews>
    <sheetView workbookViewId="0">
      <selection sqref="A1:J1"/>
    </sheetView>
  </sheetViews>
  <sheetFormatPr defaultRowHeight="15" x14ac:dyDescent="0.25"/>
  <cols>
    <col min="1" max="1" width="70" customWidth="1"/>
    <col min="2" max="10" width="8.42578125" customWidth="1"/>
  </cols>
  <sheetData>
    <row r="1" spans="1:10" ht="33.75" customHeight="1" x14ac:dyDescent="0.25">
      <c r="A1" s="74" t="s">
        <v>47</v>
      </c>
      <c r="B1" s="75"/>
      <c r="C1" s="75"/>
      <c r="D1" s="75"/>
      <c r="E1" s="75"/>
      <c r="F1" s="75"/>
      <c r="G1" s="75"/>
      <c r="H1" s="75"/>
      <c r="I1" s="75"/>
      <c r="J1" s="75"/>
    </row>
    <row r="2" spans="1:10" x14ac:dyDescent="0.25">
      <c r="A2" s="34" t="s">
        <v>247</v>
      </c>
      <c r="B2" s="35" t="s">
        <v>338</v>
      </c>
      <c r="C2" s="35" t="s">
        <v>339</v>
      </c>
      <c r="D2" s="35" t="s">
        <v>340</v>
      </c>
      <c r="E2" s="35" t="s">
        <v>341</v>
      </c>
      <c r="F2" s="35" t="s">
        <v>342</v>
      </c>
      <c r="G2" s="35" t="s">
        <v>343</v>
      </c>
      <c r="H2" s="35" t="s">
        <v>344</v>
      </c>
      <c r="I2" s="35" t="s">
        <v>345</v>
      </c>
      <c r="J2" s="35" t="s">
        <v>235</v>
      </c>
    </row>
    <row r="3" spans="1:10" x14ac:dyDescent="0.25">
      <c r="A3" s="36" t="s">
        <v>248</v>
      </c>
      <c r="B3" s="37">
        <v>14</v>
      </c>
      <c r="C3" s="37">
        <v>13</v>
      </c>
      <c r="D3" s="37">
        <v>9</v>
      </c>
      <c r="E3" s="38" t="s">
        <v>352</v>
      </c>
      <c r="F3" s="37">
        <v>7</v>
      </c>
      <c r="G3" s="38" t="s">
        <v>352</v>
      </c>
      <c r="H3" s="37" t="s">
        <v>608</v>
      </c>
      <c r="I3" s="38" t="s">
        <v>608</v>
      </c>
      <c r="J3" s="37">
        <v>44</v>
      </c>
    </row>
    <row r="4" spans="1:10" x14ac:dyDescent="0.25">
      <c r="A4" s="36" t="s">
        <v>249</v>
      </c>
      <c r="B4" s="37">
        <v>29392</v>
      </c>
      <c r="C4" s="37">
        <v>59805</v>
      </c>
      <c r="D4" s="37">
        <v>42703</v>
      </c>
      <c r="E4" s="37">
        <v>15221</v>
      </c>
      <c r="F4" s="37">
        <v>10593</v>
      </c>
      <c r="G4" s="37">
        <v>4638</v>
      </c>
      <c r="H4" s="37">
        <v>5571</v>
      </c>
      <c r="I4" s="37">
        <v>2081</v>
      </c>
      <c r="J4" s="37">
        <v>170004</v>
      </c>
    </row>
    <row r="5" spans="1:10" x14ac:dyDescent="0.25">
      <c r="A5" s="36" t="s">
        <v>250</v>
      </c>
      <c r="B5" s="37">
        <v>38064</v>
      </c>
      <c r="C5" s="37">
        <v>38581</v>
      </c>
      <c r="D5" s="37">
        <v>24891</v>
      </c>
      <c r="E5" s="37">
        <v>17998</v>
      </c>
      <c r="F5" s="37">
        <v>11844</v>
      </c>
      <c r="G5" s="37">
        <v>3697</v>
      </c>
      <c r="H5" s="37">
        <v>2494</v>
      </c>
      <c r="I5" s="37">
        <v>1166</v>
      </c>
      <c r="J5" s="37">
        <v>138735</v>
      </c>
    </row>
    <row r="6" spans="1:10" x14ac:dyDescent="0.25">
      <c r="A6" s="36" t="s">
        <v>251</v>
      </c>
      <c r="B6" s="37">
        <v>25079</v>
      </c>
      <c r="C6" s="37">
        <v>36779</v>
      </c>
      <c r="D6" s="37">
        <v>45382</v>
      </c>
      <c r="E6" s="37">
        <v>10080</v>
      </c>
      <c r="F6" s="37">
        <v>10593</v>
      </c>
      <c r="G6" s="37">
        <v>2312</v>
      </c>
      <c r="H6" s="37">
        <v>3538</v>
      </c>
      <c r="I6" s="37">
        <v>1896</v>
      </c>
      <c r="J6" s="37">
        <v>135659</v>
      </c>
    </row>
    <row r="7" spans="1:10" x14ac:dyDescent="0.25">
      <c r="A7" s="36" t="s">
        <v>252</v>
      </c>
      <c r="B7" s="37">
        <v>14741</v>
      </c>
      <c r="C7" s="37">
        <v>27282</v>
      </c>
      <c r="D7" s="37">
        <v>26378</v>
      </c>
      <c r="E7" s="37">
        <v>6075</v>
      </c>
      <c r="F7" s="37">
        <v>6589</v>
      </c>
      <c r="G7" s="37">
        <v>1628</v>
      </c>
      <c r="H7" s="37">
        <v>2310</v>
      </c>
      <c r="I7" s="37">
        <v>1644</v>
      </c>
      <c r="J7" s="37">
        <v>86647</v>
      </c>
    </row>
    <row r="8" spans="1:10" x14ac:dyDescent="0.25">
      <c r="A8" s="36" t="s">
        <v>253</v>
      </c>
      <c r="B8" s="37">
        <v>43510</v>
      </c>
      <c r="C8" s="37">
        <v>65758</v>
      </c>
      <c r="D8" s="37">
        <v>44848</v>
      </c>
      <c r="E8" s="37">
        <v>13066</v>
      </c>
      <c r="F8" s="37">
        <v>12781</v>
      </c>
      <c r="G8" s="37">
        <v>3958</v>
      </c>
      <c r="H8" s="37">
        <v>7897</v>
      </c>
      <c r="I8" s="37">
        <v>2911</v>
      </c>
      <c r="J8" s="37">
        <v>194729</v>
      </c>
    </row>
    <row r="9" spans="1:10" x14ac:dyDescent="0.25">
      <c r="A9" s="36" t="s">
        <v>254</v>
      </c>
      <c r="B9" s="37">
        <v>95673</v>
      </c>
      <c r="C9" s="37">
        <v>155318</v>
      </c>
      <c r="D9" s="37">
        <v>77606</v>
      </c>
      <c r="E9" s="37">
        <v>56614</v>
      </c>
      <c r="F9" s="37">
        <v>16572</v>
      </c>
      <c r="G9" s="37">
        <v>14825</v>
      </c>
      <c r="H9" s="37">
        <v>9636</v>
      </c>
      <c r="I9" s="37">
        <v>5020</v>
      </c>
      <c r="J9" s="37">
        <v>431264</v>
      </c>
    </row>
    <row r="10" spans="1:10" x14ac:dyDescent="0.25">
      <c r="A10" s="36" t="s">
        <v>255</v>
      </c>
      <c r="B10" s="37">
        <v>6743</v>
      </c>
      <c r="C10" s="37">
        <v>11197</v>
      </c>
      <c r="D10" s="37">
        <v>6980</v>
      </c>
      <c r="E10" s="37">
        <v>3135</v>
      </c>
      <c r="F10" s="37">
        <v>2149</v>
      </c>
      <c r="G10" s="37">
        <v>1219</v>
      </c>
      <c r="H10" s="37">
        <v>764</v>
      </c>
      <c r="I10" s="37">
        <v>306</v>
      </c>
      <c r="J10" s="37">
        <v>32493</v>
      </c>
    </row>
    <row r="11" spans="1:10" x14ac:dyDescent="0.25">
      <c r="A11" s="36" t="s">
        <v>256</v>
      </c>
      <c r="B11" s="37">
        <v>46816</v>
      </c>
      <c r="C11" s="37">
        <v>58616</v>
      </c>
      <c r="D11" s="37">
        <v>48367</v>
      </c>
      <c r="E11" s="37">
        <v>16144</v>
      </c>
      <c r="F11" s="37">
        <v>13134</v>
      </c>
      <c r="G11" s="37">
        <v>4600</v>
      </c>
      <c r="H11" s="37">
        <v>7049</v>
      </c>
      <c r="I11" s="37">
        <v>2786</v>
      </c>
      <c r="J11" s="37">
        <v>197512</v>
      </c>
    </row>
    <row r="12" spans="1:10" x14ac:dyDescent="0.25">
      <c r="A12" s="36" t="s">
        <v>257</v>
      </c>
      <c r="B12" s="37">
        <v>29520</v>
      </c>
      <c r="C12" s="37">
        <v>38200</v>
      </c>
      <c r="D12" s="37">
        <v>35724</v>
      </c>
      <c r="E12" s="37">
        <v>12933</v>
      </c>
      <c r="F12" s="37">
        <v>11304</v>
      </c>
      <c r="G12" s="37">
        <v>3010</v>
      </c>
      <c r="H12" s="37">
        <v>2843</v>
      </c>
      <c r="I12" s="37">
        <v>2162</v>
      </c>
      <c r="J12" s="37">
        <v>135696</v>
      </c>
    </row>
    <row r="13" spans="1:10" x14ac:dyDescent="0.25">
      <c r="A13" s="36" t="s">
        <v>258</v>
      </c>
      <c r="B13" s="37">
        <v>9772</v>
      </c>
      <c r="C13" s="37">
        <v>39279</v>
      </c>
      <c r="D13" s="37">
        <v>13125</v>
      </c>
      <c r="E13" s="37">
        <v>9017</v>
      </c>
      <c r="F13" s="37">
        <v>2234</v>
      </c>
      <c r="G13" s="37">
        <v>1398</v>
      </c>
      <c r="H13" s="37">
        <v>1078</v>
      </c>
      <c r="I13" s="37">
        <v>1105</v>
      </c>
      <c r="J13" s="37">
        <v>77008</v>
      </c>
    </row>
    <row r="14" spans="1:10" x14ac:dyDescent="0.25">
      <c r="A14" s="36" t="s">
        <v>259</v>
      </c>
      <c r="B14" s="37">
        <v>456325</v>
      </c>
      <c r="C14" s="37">
        <v>419196</v>
      </c>
      <c r="D14" s="37">
        <v>309328</v>
      </c>
      <c r="E14" s="37">
        <v>101626</v>
      </c>
      <c r="F14" s="37">
        <v>119365</v>
      </c>
      <c r="G14" s="37">
        <v>28991</v>
      </c>
      <c r="H14" s="37">
        <v>24594</v>
      </c>
      <c r="I14" s="37">
        <v>91761</v>
      </c>
      <c r="J14" s="37">
        <v>1551186</v>
      </c>
    </row>
    <row r="15" spans="1:10" x14ac:dyDescent="0.25">
      <c r="A15" s="36" t="s">
        <v>260</v>
      </c>
      <c r="B15" s="37">
        <v>9359</v>
      </c>
      <c r="C15" s="37">
        <v>10302</v>
      </c>
      <c r="D15" s="37">
        <v>7641</v>
      </c>
      <c r="E15" s="37">
        <v>4489</v>
      </c>
      <c r="F15" s="37">
        <v>3220</v>
      </c>
      <c r="G15" s="37">
        <v>891</v>
      </c>
      <c r="H15" s="37">
        <v>747</v>
      </c>
      <c r="I15" s="37">
        <v>401</v>
      </c>
      <c r="J15" s="37">
        <v>37050</v>
      </c>
    </row>
    <row r="16" spans="1:10" x14ac:dyDescent="0.25">
      <c r="A16" s="36" t="s">
        <v>261</v>
      </c>
      <c r="B16" s="37">
        <v>22368</v>
      </c>
      <c r="C16" s="37">
        <v>28818</v>
      </c>
      <c r="D16" s="37">
        <v>30649</v>
      </c>
      <c r="E16" s="37">
        <v>7173</v>
      </c>
      <c r="F16" s="37">
        <v>6270</v>
      </c>
      <c r="G16" s="37">
        <v>2287</v>
      </c>
      <c r="H16" s="37">
        <v>1612</v>
      </c>
      <c r="I16" s="37">
        <v>1106</v>
      </c>
      <c r="J16" s="37">
        <v>100283</v>
      </c>
    </row>
    <row r="17" spans="1:10" x14ac:dyDescent="0.25">
      <c r="A17" s="36" t="s">
        <v>262</v>
      </c>
      <c r="B17" s="37">
        <v>28784</v>
      </c>
      <c r="C17" s="37">
        <v>24363</v>
      </c>
      <c r="D17" s="37">
        <v>85114</v>
      </c>
      <c r="E17" s="37">
        <v>6777</v>
      </c>
      <c r="F17" s="37">
        <v>7564</v>
      </c>
      <c r="G17" s="37">
        <v>1740</v>
      </c>
      <c r="H17" s="37">
        <v>8263</v>
      </c>
      <c r="I17" s="37">
        <v>1608</v>
      </c>
      <c r="J17" s="37">
        <v>164213</v>
      </c>
    </row>
    <row r="18" spans="1:10" x14ac:dyDescent="0.25">
      <c r="A18" s="36" t="s">
        <v>263</v>
      </c>
      <c r="B18" s="37">
        <v>1225</v>
      </c>
      <c r="C18" s="37">
        <v>1264</v>
      </c>
      <c r="D18" s="37">
        <v>1590</v>
      </c>
      <c r="E18" s="37">
        <v>388</v>
      </c>
      <c r="F18" s="37">
        <v>270</v>
      </c>
      <c r="G18" s="37">
        <v>54</v>
      </c>
      <c r="H18" s="37">
        <v>65</v>
      </c>
      <c r="I18" s="37">
        <v>54</v>
      </c>
      <c r="J18" s="37">
        <v>4910</v>
      </c>
    </row>
    <row r="19" spans="1:10" x14ac:dyDescent="0.25">
      <c r="A19" s="36" t="s">
        <v>264</v>
      </c>
      <c r="B19" s="37">
        <v>16459</v>
      </c>
      <c r="C19" s="37">
        <v>45696</v>
      </c>
      <c r="D19" s="37">
        <v>30919</v>
      </c>
      <c r="E19" s="37">
        <v>15693</v>
      </c>
      <c r="F19" s="37">
        <v>5132</v>
      </c>
      <c r="G19" s="37">
        <v>3596</v>
      </c>
      <c r="H19" s="37">
        <v>1713</v>
      </c>
      <c r="I19" s="37">
        <v>983</v>
      </c>
      <c r="J19" s="37">
        <v>120191</v>
      </c>
    </row>
    <row r="20" spans="1:10" x14ac:dyDescent="0.25">
      <c r="A20" s="36" t="s">
        <v>265</v>
      </c>
      <c r="B20" s="37">
        <v>7191</v>
      </c>
      <c r="C20" s="37">
        <v>163665</v>
      </c>
      <c r="D20" s="37">
        <v>140680</v>
      </c>
      <c r="E20" s="37">
        <v>55552</v>
      </c>
      <c r="F20" s="37">
        <v>4197</v>
      </c>
      <c r="G20" s="37">
        <v>16909</v>
      </c>
      <c r="H20" s="37">
        <v>187</v>
      </c>
      <c r="I20" s="37">
        <v>5394</v>
      </c>
      <c r="J20" s="37">
        <v>393775</v>
      </c>
    </row>
    <row r="21" spans="1:10" x14ac:dyDescent="0.25">
      <c r="A21" s="36" t="s">
        <v>266</v>
      </c>
      <c r="B21" s="37">
        <v>2685</v>
      </c>
      <c r="C21" s="37">
        <v>8166</v>
      </c>
      <c r="D21" s="37">
        <v>7394</v>
      </c>
      <c r="E21" s="37">
        <v>1061</v>
      </c>
      <c r="F21" s="37">
        <v>1923</v>
      </c>
      <c r="G21" s="37">
        <v>365</v>
      </c>
      <c r="H21" s="37">
        <v>750</v>
      </c>
      <c r="I21" s="37">
        <v>403</v>
      </c>
      <c r="J21" s="37">
        <v>22747</v>
      </c>
    </row>
    <row r="22" spans="1:10" x14ac:dyDescent="0.25">
      <c r="A22" s="36" t="s">
        <v>267</v>
      </c>
      <c r="B22" s="37">
        <v>1986</v>
      </c>
      <c r="C22" s="37">
        <v>9910</v>
      </c>
      <c r="D22" s="37">
        <v>5405</v>
      </c>
      <c r="E22" s="37">
        <v>517</v>
      </c>
      <c r="F22" s="37">
        <v>810</v>
      </c>
      <c r="G22" s="37">
        <v>125</v>
      </c>
      <c r="H22" s="37">
        <v>692</v>
      </c>
      <c r="I22" s="37">
        <v>371</v>
      </c>
      <c r="J22" s="37">
        <v>19816</v>
      </c>
    </row>
    <row r="23" spans="1:10" x14ac:dyDescent="0.25">
      <c r="A23" s="36" t="s">
        <v>273</v>
      </c>
      <c r="B23" s="37">
        <v>1018</v>
      </c>
      <c r="C23" s="37">
        <v>4420</v>
      </c>
      <c r="D23" s="37">
        <v>5180</v>
      </c>
      <c r="E23" s="37">
        <v>1117</v>
      </c>
      <c r="F23" s="37">
        <v>816</v>
      </c>
      <c r="G23" s="37">
        <v>83</v>
      </c>
      <c r="H23" s="37">
        <v>374</v>
      </c>
      <c r="I23" s="37">
        <v>779</v>
      </c>
      <c r="J23" s="37">
        <v>13787</v>
      </c>
    </row>
    <row r="24" spans="1:10" x14ac:dyDescent="0.25">
      <c r="A24" s="36" t="s">
        <v>268</v>
      </c>
      <c r="B24" s="37">
        <v>31</v>
      </c>
      <c r="C24" s="37">
        <v>95</v>
      </c>
      <c r="D24" s="37">
        <v>151</v>
      </c>
      <c r="E24" s="37">
        <v>35</v>
      </c>
      <c r="F24" s="37">
        <v>72</v>
      </c>
      <c r="G24" s="37">
        <v>9</v>
      </c>
      <c r="H24" s="37" t="s">
        <v>608</v>
      </c>
      <c r="I24" s="37" t="s">
        <v>608</v>
      </c>
      <c r="J24" s="37">
        <v>406</v>
      </c>
    </row>
    <row r="25" spans="1:10" x14ac:dyDescent="0.25">
      <c r="A25" s="36" t="s">
        <v>269</v>
      </c>
      <c r="B25" s="37">
        <v>22916</v>
      </c>
      <c r="C25" s="37">
        <v>29634</v>
      </c>
      <c r="D25" s="37">
        <v>27516</v>
      </c>
      <c r="E25" s="37">
        <v>6046</v>
      </c>
      <c r="F25" s="37">
        <v>6461</v>
      </c>
      <c r="G25" s="37">
        <v>1764</v>
      </c>
      <c r="H25" s="37">
        <v>4665</v>
      </c>
      <c r="I25" s="37">
        <v>1739</v>
      </c>
      <c r="J25" s="37">
        <v>100741</v>
      </c>
    </row>
    <row r="26" spans="1:10" x14ac:dyDescent="0.25">
      <c r="A26" s="36" t="s">
        <v>270</v>
      </c>
      <c r="B26" s="37">
        <v>852</v>
      </c>
      <c r="C26" s="37">
        <v>884</v>
      </c>
      <c r="D26" s="37">
        <v>1192</v>
      </c>
      <c r="E26" s="37">
        <v>436</v>
      </c>
      <c r="F26" s="37">
        <v>319</v>
      </c>
      <c r="G26" s="37">
        <v>91</v>
      </c>
      <c r="H26" s="37">
        <v>68</v>
      </c>
      <c r="I26" s="37">
        <v>60</v>
      </c>
      <c r="J26" s="37">
        <v>3902</v>
      </c>
    </row>
    <row r="27" spans="1:10" x14ac:dyDescent="0.25">
      <c r="A27" s="36" t="s">
        <v>271</v>
      </c>
      <c r="B27" s="37">
        <v>27132</v>
      </c>
      <c r="C27" s="37">
        <v>40663</v>
      </c>
      <c r="D27" s="37">
        <v>41253</v>
      </c>
      <c r="E27" s="37">
        <v>13968</v>
      </c>
      <c r="F27" s="37">
        <v>7533</v>
      </c>
      <c r="G27" s="37">
        <v>4132</v>
      </c>
      <c r="H27" s="37">
        <v>2500</v>
      </c>
      <c r="I27" s="37">
        <v>1345</v>
      </c>
      <c r="J27" s="37">
        <v>138526</v>
      </c>
    </row>
    <row r="28" spans="1:10" x14ac:dyDescent="0.25">
      <c r="A28" s="36" t="s">
        <v>272</v>
      </c>
      <c r="B28" s="37">
        <v>522</v>
      </c>
      <c r="C28" s="37">
        <v>466</v>
      </c>
      <c r="D28" s="37">
        <v>174</v>
      </c>
      <c r="E28" s="37">
        <v>115</v>
      </c>
      <c r="F28" s="37">
        <v>159</v>
      </c>
      <c r="G28" s="37">
        <v>44</v>
      </c>
      <c r="H28" s="37">
        <v>135</v>
      </c>
      <c r="I28" s="37">
        <v>10</v>
      </c>
      <c r="J28" s="37">
        <v>1625</v>
      </c>
    </row>
    <row r="29" spans="1:10" s="70" customFormat="1" ht="15.75" thickBot="1" x14ac:dyDescent="0.3">
      <c r="A29" s="67" t="s">
        <v>235</v>
      </c>
      <c r="B29" s="68">
        <v>938177</v>
      </c>
      <c r="C29" s="68">
        <v>1318370</v>
      </c>
      <c r="D29" s="68">
        <v>1060199</v>
      </c>
      <c r="E29" s="68">
        <v>375276</v>
      </c>
      <c r="F29" s="68">
        <v>261911</v>
      </c>
      <c r="G29" s="68">
        <v>102366</v>
      </c>
      <c r="H29" s="68">
        <v>89552</v>
      </c>
      <c r="I29" s="68">
        <v>127098</v>
      </c>
      <c r="J29" s="68">
        <v>4272949</v>
      </c>
    </row>
    <row r="30" spans="1:10" x14ac:dyDescent="0.25">
      <c r="A30" s="76" t="s">
        <v>568</v>
      </c>
      <c r="B30" s="77"/>
      <c r="C30" s="77"/>
      <c r="D30" s="77"/>
      <c r="E30" s="77"/>
      <c r="F30" s="77"/>
      <c r="G30" s="77"/>
      <c r="H30" s="77"/>
      <c r="I30" s="77"/>
      <c r="J30" s="77"/>
    </row>
    <row r="31" spans="1:10" x14ac:dyDescent="0.25">
      <c r="A31" s="76" t="s">
        <v>569</v>
      </c>
      <c r="B31" s="77"/>
      <c r="C31" s="77"/>
      <c r="D31" s="77"/>
      <c r="E31" s="77"/>
      <c r="F31" s="77"/>
      <c r="G31" s="77"/>
      <c r="H31" s="77"/>
      <c r="I31" s="77"/>
      <c r="J31" s="77"/>
    </row>
    <row r="32" spans="1:10" x14ac:dyDescent="0.25">
      <c r="A32" s="45"/>
      <c r="B32" s="33"/>
      <c r="C32" s="33"/>
      <c r="D32" s="33"/>
      <c r="E32" s="33"/>
      <c r="F32" s="33"/>
      <c r="G32" s="33"/>
      <c r="H32" s="33"/>
      <c r="I32" s="33"/>
      <c r="J32" s="33"/>
    </row>
    <row r="33" spans="1:10" x14ac:dyDescent="0.25">
      <c r="A33" s="33" t="s">
        <v>239</v>
      </c>
      <c r="B33" s="33"/>
      <c r="C33" s="33"/>
      <c r="D33" s="33"/>
      <c r="E33" s="33"/>
      <c r="F33" s="33"/>
      <c r="G33" s="33"/>
      <c r="H33" s="33"/>
      <c r="I33" s="33"/>
      <c r="J33" s="33"/>
    </row>
    <row r="34" spans="1:10" x14ac:dyDescent="0.25">
      <c r="A34" s="46" t="s">
        <v>212</v>
      </c>
      <c r="B34" s="33"/>
      <c r="C34" s="33"/>
      <c r="D34" s="33"/>
      <c r="E34" s="33"/>
      <c r="F34" s="33"/>
      <c r="G34" s="33"/>
      <c r="H34" s="33"/>
      <c r="I34" s="33"/>
      <c r="J34" s="33"/>
    </row>
    <row r="35" spans="1:10" x14ac:dyDescent="0.25">
      <c r="A35" s="33"/>
      <c r="B35" s="33"/>
      <c r="C35" s="33"/>
      <c r="D35" s="33"/>
      <c r="E35" s="33"/>
      <c r="F35" s="33"/>
      <c r="G35" s="33"/>
      <c r="H35" s="33"/>
      <c r="I35" s="33"/>
      <c r="J35" s="33"/>
    </row>
    <row r="36" spans="1:10" x14ac:dyDescent="0.25">
      <c r="A36" s="46" t="s">
        <v>70</v>
      </c>
      <c r="B36" s="33"/>
      <c r="C36" s="33"/>
      <c r="D36" s="33"/>
      <c r="E36" s="33"/>
      <c r="F36" s="33"/>
      <c r="G36" s="33"/>
      <c r="H36" s="33"/>
      <c r="I36" s="33"/>
      <c r="J36" s="33"/>
    </row>
    <row r="37" spans="1:10" x14ac:dyDescent="0.25">
      <c r="A37" s="33"/>
      <c r="B37" s="33"/>
      <c r="C37" s="33"/>
      <c r="D37" s="33"/>
      <c r="E37" s="33"/>
      <c r="F37" s="33"/>
      <c r="G37" s="33"/>
      <c r="H37" s="33"/>
      <c r="I37" s="33"/>
      <c r="J37" s="33"/>
    </row>
    <row r="38" spans="1:10" x14ac:dyDescent="0.25">
      <c r="A38" s="46" t="s">
        <v>240</v>
      </c>
      <c r="B38" s="33"/>
      <c r="C38" s="33"/>
      <c r="D38" s="33"/>
      <c r="E38" s="33"/>
      <c r="F38" s="33"/>
      <c r="G38" s="33"/>
      <c r="H38" s="33"/>
      <c r="I38" s="33"/>
      <c r="J38" s="33"/>
    </row>
  </sheetData>
  <mergeCells count="3">
    <mergeCell ref="A1:J1"/>
    <mergeCell ref="A31:J31"/>
    <mergeCell ref="A30:J30"/>
  </mergeCells>
  <hyperlinks>
    <hyperlink ref="A34" r:id="rId1" xr:uid="{00000000-0004-0000-2F00-000000000000}"/>
    <hyperlink ref="A36" location="'Technical specifications'!A1" display="Technical specifications" xr:uid="{00000000-0004-0000-2F00-000001000000}"/>
    <hyperlink ref="A38" location="Contents!A1" display="Back to contents" xr:uid="{00000000-0004-0000-2F00-000002000000}"/>
  </hyperlink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38"/>
  <sheetViews>
    <sheetView workbookViewId="0">
      <selection sqref="A1:J1"/>
    </sheetView>
  </sheetViews>
  <sheetFormatPr defaultRowHeight="15" x14ac:dyDescent="0.25"/>
  <cols>
    <col min="1" max="1" width="70" customWidth="1"/>
    <col min="2" max="10" width="8.42578125" customWidth="1"/>
  </cols>
  <sheetData>
    <row r="1" spans="1:10" ht="33.75" customHeight="1" x14ac:dyDescent="0.25">
      <c r="A1" s="74" t="s">
        <v>48</v>
      </c>
      <c r="B1" s="75"/>
      <c r="C1" s="75"/>
      <c r="D1" s="75"/>
      <c r="E1" s="75"/>
      <c r="F1" s="75"/>
      <c r="G1" s="75"/>
      <c r="H1" s="75"/>
      <c r="I1" s="75"/>
      <c r="J1" s="75"/>
    </row>
    <row r="2" spans="1:10" x14ac:dyDescent="0.25">
      <c r="A2" s="34" t="s">
        <v>247</v>
      </c>
      <c r="B2" s="35" t="s">
        <v>338</v>
      </c>
      <c r="C2" s="35" t="s">
        <v>339</v>
      </c>
      <c r="D2" s="35" t="s">
        <v>340</v>
      </c>
      <c r="E2" s="35" t="s">
        <v>341</v>
      </c>
      <c r="F2" s="35" t="s">
        <v>342</v>
      </c>
      <c r="G2" s="64" t="s">
        <v>343</v>
      </c>
      <c r="H2" s="64" t="s">
        <v>344</v>
      </c>
      <c r="I2" s="64" t="s">
        <v>345</v>
      </c>
      <c r="J2" s="35" t="s">
        <v>235</v>
      </c>
    </row>
    <row r="3" spans="1:10" x14ac:dyDescent="0.25">
      <c r="A3" s="36" t="s">
        <v>248</v>
      </c>
      <c r="B3" s="37" t="s">
        <v>608</v>
      </c>
      <c r="C3" s="37" t="s">
        <v>608</v>
      </c>
      <c r="D3" s="37" t="s">
        <v>608</v>
      </c>
      <c r="E3" s="38" t="s">
        <v>352</v>
      </c>
      <c r="F3" s="37" t="s">
        <v>608</v>
      </c>
      <c r="G3" s="65" t="s">
        <v>608</v>
      </c>
      <c r="H3" s="65" t="s">
        <v>447</v>
      </c>
      <c r="I3" s="65" t="s">
        <v>608</v>
      </c>
      <c r="J3" s="37" t="s">
        <v>608</v>
      </c>
    </row>
    <row r="4" spans="1:10" x14ac:dyDescent="0.25">
      <c r="A4" s="36" t="s">
        <v>249</v>
      </c>
      <c r="B4" s="37">
        <v>19735</v>
      </c>
      <c r="C4" s="37">
        <v>14596</v>
      </c>
      <c r="D4" s="37">
        <v>22821</v>
      </c>
      <c r="E4" s="37">
        <v>7598</v>
      </c>
      <c r="F4" s="37">
        <v>3660</v>
      </c>
      <c r="G4" s="65" t="s">
        <v>608</v>
      </c>
      <c r="H4" s="65" t="s">
        <v>447</v>
      </c>
      <c r="I4" s="65" t="s">
        <v>608</v>
      </c>
      <c r="J4" s="37">
        <v>69905</v>
      </c>
    </row>
    <row r="5" spans="1:10" x14ac:dyDescent="0.25">
      <c r="A5" s="36" t="s">
        <v>250</v>
      </c>
      <c r="B5" s="37">
        <v>112474</v>
      </c>
      <c r="C5" s="37">
        <v>67581</v>
      </c>
      <c r="D5" s="37">
        <v>103040</v>
      </c>
      <c r="E5" s="37">
        <v>39396</v>
      </c>
      <c r="F5" s="37">
        <v>36432</v>
      </c>
      <c r="G5" s="65" t="s">
        <v>608</v>
      </c>
      <c r="H5" s="65" t="s">
        <v>447</v>
      </c>
      <c r="I5" s="65" t="s">
        <v>608</v>
      </c>
      <c r="J5" s="37">
        <v>377384</v>
      </c>
    </row>
    <row r="6" spans="1:10" x14ac:dyDescent="0.25">
      <c r="A6" s="36" t="s">
        <v>251</v>
      </c>
      <c r="B6" s="37">
        <v>62453</v>
      </c>
      <c r="C6" s="37">
        <v>51203</v>
      </c>
      <c r="D6" s="37">
        <v>51000</v>
      </c>
      <c r="E6" s="37">
        <v>28284</v>
      </c>
      <c r="F6" s="37">
        <v>19092</v>
      </c>
      <c r="G6" s="65" t="s">
        <v>608</v>
      </c>
      <c r="H6" s="65" t="s">
        <v>447</v>
      </c>
      <c r="I6" s="65" t="s">
        <v>608</v>
      </c>
      <c r="J6" s="37">
        <v>216585</v>
      </c>
    </row>
    <row r="7" spans="1:10" x14ac:dyDescent="0.25">
      <c r="A7" s="36" t="s">
        <v>252</v>
      </c>
      <c r="B7" s="37">
        <v>4204</v>
      </c>
      <c r="C7" s="37">
        <v>3586</v>
      </c>
      <c r="D7" s="37">
        <v>4948</v>
      </c>
      <c r="E7" s="37">
        <v>1721</v>
      </c>
      <c r="F7" s="37">
        <v>1417</v>
      </c>
      <c r="G7" s="65" t="s">
        <v>608</v>
      </c>
      <c r="H7" s="65" t="s">
        <v>447</v>
      </c>
      <c r="I7" s="65" t="s">
        <v>608</v>
      </c>
      <c r="J7" s="37">
        <v>16273</v>
      </c>
    </row>
    <row r="8" spans="1:10" x14ac:dyDescent="0.25">
      <c r="A8" s="36" t="s">
        <v>253</v>
      </c>
      <c r="B8" s="37">
        <v>25570</v>
      </c>
      <c r="C8" s="37">
        <v>15765</v>
      </c>
      <c r="D8" s="37">
        <v>14180</v>
      </c>
      <c r="E8" s="37">
        <v>8090</v>
      </c>
      <c r="F8" s="37">
        <v>5381</v>
      </c>
      <c r="G8" s="65" t="s">
        <v>608</v>
      </c>
      <c r="H8" s="65" t="s">
        <v>447</v>
      </c>
      <c r="I8" s="65" t="s">
        <v>608</v>
      </c>
      <c r="J8" s="37">
        <v>72260</v>
      </c>
    </row>
    <row r="9" spans="1:10" x14ac:dyDescent="0.25">
      <c r="A9" s="36" t="s">
        <v>254</v>
      </c>
      <c r="B9" s="37">
        <v>206572</v>
      </c>
      <c r="C9" s="37">
        <v>188310</v>
      </c>
      <c r="D9" s="37">
        <v>169419</v>
      </c>
      <c r="E9" s="37">
        <v>67263</v>
      </c>
      <c r="F9" s="37">
        <v>44873</v>
      </c>
      <c r="G9" s="65" t="s">
        <v>608</v>
      </c>
      <c r="H9" s="65" t="s">
        <v>447</v>
      </c>
      <c r="I9" s="65" t="s">
        <v>608</v>
      </c>
      <c r="J9" s="37">
        <v>696304</v>
      </c>
    </row>
    <row r="10" spans="1:10" x14ac:dyDescent="0.25">
      <c r="A10" s="36" t="s">
        <v>255</v>
      </c>
      <c r="B10" s="37">
        <v>3126</v>
      </c>
      <c r="C10" s="37">
        <v>2425</v>
      </c>
      <c r="D10" s="37">
        <v>2446</v>
      </c>
      <c r="E10" s="37">
        <v>757</v>
      </c>
      <c r="F10" s="37">
        <v>903</v>
      </c>
      <c r="G10" s="65" t="s">
        <v>608</v>
      </c>
      <c r="H10" s="65" t="s">
        <v>447</v>
      </c>
      <c r="I10" s="65" t="s">
        <v>608</v>
      </c>
      <c r="J10" s="37">
        <v>9997</v>
      </c>
    </row>
    <row r="11" spans="1:10" x14ac:dyDescent="0.25">
      <c r="A11" s="36" t="s">
        <v>256</v>
      </c>
      <c r="B11" s="37">
        <v>54894</v>
      </c>
      <c r="C11" s="37">
        <v>43645</v>
      </c>
      <c r="D11" s="37">
        <v>48812</v>
      </c>
      <c r="E11" s="37">
        <v>34104</v>
      </c>
      <c r="F11" s="37">
        <v>16521</v>
      </c>
      <c r="G11" s="65" t="s">
        <v>608</v>
      </c>
      <c r="H11" s="65" t="s">
        <v>447</v>
      </c>
      <c r="I11" s="65" t="s">
        <v>608</v>
      </c>
      <c r="J11" s="37">
        <v>202803</v>
      </c>
    </row>
    <row r="12" spans="1:10" x14ac:dyDescent="0.25">
      <c r="A12" s="36" t="s">
        <v>257</v>
      </c>
      <c r="B12" s="37">
        <v>46490</v>
      </c>
      <c r="C12" s="37">
        <v>40572</v>
      </c>
      <c r="D12" s="37">
        <v>43180</v>
      </c>
      <c r="E12" s="37">
        <v>20406</v>
      </c>
      <c r="F12" s="37">
        <v>15112</v>
      </c>
      <c r="G12" s="65" t="s">
        <v>608</v>
      </c>
      <c r="H12" s="65" t="s">
        <v>447</v>
      </c>
      <c r="I12" s="65" t="s">
        <v>608</v>
      </c>
      <c r="J12" s="37">
        <v>170023</v>
      </c>
    </row>
    <row r="13" spans="1:10" x14ac:dyDescent="0.25">
      <c r="A13" s="36" t="s">
        <v>258</v>
      </c>
      <c r="B13" s="37">
        <v>14141</v>
      </c>
      <c r="C13" s="37">
        <v>15575</v>
      </c>
      <c r="D13" s="37">
        <v>13168</v>
      </c>
      <c r="E13" s="37">
        <v>5051</v>
      </c>
      <c r="F13" s="37">
        <v>3597</v>
      </c>
      <c r="G13" s="65" t="s">
        <v>608</v>
      </c>
      <c r="H13" s="65" t="s">
        <v>447</v>
      </c>
      <c r="I13" s="65" t="s">
        <v>608</v>
      </c>
      <c r="J13" s="37">
        <v>54247</v>
      </c>
    </row>
    <row r="14" spans="1:10" x14ac:dyDescent="0.25">
      <c r="A14" s="36" t="s">
        <v>259</v>
      </c>
      <c r="B14" s="37">
        <v>89158</v>
      </c>
      <c r="C14" s="37">
        <v>80292</v>
      </c>
      <c r="D14" s="37">
        <v>120116</v>
      </c>
      <c r="E14" s="37">
        <v>125239</v>
      </c>
      <c r="F14" s="37">
        <v>36349</v>
      </c>
      <c r="G14" s="65" t="s">
        <v>608</v>
      </c>
      <c r="H14" s="65" t="s">
        <v>447</v>
      </c>
      <c r="I14" s="65" t="s">
        <v>608</v>
      </c>
      <c r="J14" s="37">
        <v>452929</v>
      </c>
    </row>
    <row r="15" spans="1:10" x14ac:dyDescent="0.25">
      <c r="A15" s="36" t="s">
        <v>260</v>
      </c>
      <c r="B15" s="37">
        <v>17775</v>
      </c>
      <c r="C15" s="37">
        <v>12098</v>
      </c>
      <c r="D15" s="37">
        <v>13454</v>
      </c>
      <c r="E15" s="37">
        <v>8572</v>
      </c>
      <c r="F15" s="37">
        <v>5216</v>
      </c>
      <c r="G15" s="65" t="s">
        <v>608</v>
      </c>
      <c r="H15" s="65" t="s">
        <v>447</v>
      </c>
      <c r="I15" s="65" t="s">
        <v>608</v>
      </c>
      <c r="J15" s="37">
        <v>58488</v>
      </c>
    </row>
    <row r="16" spans="1:10" x14ac:dyDescent="0.25">
      <c r="A16" s="36" t="s">
        <v>261</v>
      </c>
      <c r="B16" s="37">
        <v>52633</v>
      </c>
      <c r="C16" s="37">
        <v>44505</v>
      </c>
      <c r="D16" s="37">
        <v>38375</v>
      </c>
      <c r="E16" s="37">
        <v>16469</v>
      </c>
      <c r="F16" s="37">
        <v>12156</v>
      </c>
      <c r="G16" s="65" t="s">
        <v>608</v>
      </c>
      <c r="H16" s="65" t="s">
        <v>447</v>
      </c>
      <c r="I16" s="65" t="s">
        <v>608</v>
      </c>
      <c r="J16" s="37">
        <v>168019</v>
      </c>
    </row>
    <row r="17" spans="1:10" x14ac:dyDescent="0.25">
      <c r="A17" s="36" t="s">
        <v>262</v>
      </c>
      <c r="B17" s="37">
        <v>8222</v>
      </c>
      <c r="C17" s="37">
        <v>9352</v>
      </c>
      <c r="D17" s="37">
        <v>10342</v>
      </c>
      <c r="E17" s="37">
        <v>6377</v>
      </c>
      <c r="F17" s="37">
        <v>1717</v>
      </c>
      <c r="G17" s="65" t="s">
        <v>608</v>
      </c>
      <c r="H17" s="65" t="s">
        <v>447</v>
      </c>
      <c r="I17" s="65" t="s">
        <v>608</v>
      </c>
      <c r="J17" s="37">
        <v>36933</v>
      </c>
    </row>
    <row r="18" spans="1:10" x14ac:dyDescent="0.25">
      <c r="A18" s="36" t="s">
        <v>263</v>
      </c>
      <c r="B18" s="37">
        <v>194</v>
      </c>
      <c r="C18" s="37">
        <v>75</v>
      </c>
      <c r="D18" s="37">
        <v>33</v>
      </c>
      <c r="E18" s="37">
        <v>36</v>
      </c>
      <c r="F18" s="37">
        <v>10</v>
      </c>
      <c r="G18" s="65" t="s">
        <v>608</v>
      </c>
      <c r="H18" s="65" t="s">
        <v>447</v>
      </c>
      <c r="I18" s="65" t="s">
        <v>608</v>
      </c>
      <c r="J18" s="37">
        <v>353</v>
      </c>
    </row>
    <row r="19" spans="1:10" x14ac:dyDescent="0.25">
      <c r="A19" s="36" t="s">
        <v>264</v>
      </c>
      <c r="B19" s="37">
        <v>15954</v>
      </c>
      <c r="C19" s="37">
        <v>20761</v>
      </c>
      <c r="D19" s="37">
        <v>26672</v>
      </c>
      <c r="E19" s="37">
        <v>5871</v>
      </c>
      <c r="F19" s="37">
        <v>5763</v>
      </c>
      <c r="G19" s="65" t="s">
        <v>608</v>
      </c>
      <c r="H19" s="65" t="s">
        <v>447</v>
      </c>
      <c r="I19" s="65" t="s">
        <v>608</v>
      </c>
      <c r="J19" s="37">
        <v>82329</v>
      </c>
    </row>
    <row r="20" spans="1:10" x14ac:dyDescent="0.25">
      <c r="A20" s="36" t="s">
        <v>265</v>
      </c>
      <c r="B20" s="37">
        <v>103268</v>
      </c>
      <c r="C20" s="37">
        <v>95434</v>
      </c>
      <c r="D20" s="37">
        <v>123089</v>
      </c>
      <c r="E20" s="37">
        <v>54352</v>
      </c>
      <c r="F20" s="37">
        <v>39067</v>
      </c>
      <c r="G20" s="65" t="s">
        <v>608</v>
      </c>
      <c r="H20" s="65" t="s">
        <v>447</v>
      </c>
      <c r="I20" s="65" t="s">
        <v>608</v>
      </c>
      <c r="J20" s="37">
        <v>424883</v>
      </c>
    </row>
    <row r="21" spans="1:10" x14ac:dyDescent="0.25">
      <c r="A21" s="36" t="s">
        <v>266</v>
      </c>
      <c r="B21" s="37">
        <v>295</v>
      </c>
      <c r="C21" s="37">
        <v>260</v>
      </c>
      <c r="D21" s="37">
        <v>303</v>
      </c>
      <c r="E21" s="37">
        <v>92</v>
      </c>
      <c r="F21" s="37">
        <v>46</v>
      </c>
      <c r="G21" s="65" t="s">
        <v>608</v>
      </c>
      <c r="H21" s="65" t="s">
        <v>447</v>
      </c>
      <c r="I21" s="65" t="s">
        <v>608</v>
      </c>
      <c r="J21" s="37">
        <v>1044</v>
      </c>
    </row>
    <row r="22" spans="1:10" x14ac:dyDescent="0.25">
      <c r="A22" s="36" t="s">
        <v>267</v>
      </c>
      <c r="B22" s="37">
        <v>3354</v>
      </c>
      <c r="C22" s="37">
        <v>1412</v>
      </c>
      <c r="D22" s="37">
        <v>213</v>
      </c>
      <c r="E22" s="37">
        <v>65</v>
      </c>
      <c r="F22" s="37">
        <v>497</v>
      </c>
      <c r="G22" s="65" t="s">
        <v>608</v>
      </c>
      <c r="H22" s="65" t="s">
        <v>447</v>
      </c>
      <c r="I22" s="65" t="s">
        <v>608</v>
      </c>
      <c r="J22" s="37">
        <v>6392</v>
      </c>
    </row>
    <row r="23" spans="1:10" x14ac:dyDescent="0.25">
      <c r="A23" s="36" t="s">
        <v>273</v>
      </c>
      <c r="B23" s="37">
        <v>201</v>
      </c>
      <c r="C23" s="37">
        <v>2958</v>
      </c>
      <c r="D23" s="37">
        <v>668</v>
      </c>
      <c r="E23" s="37" t="s">
        <v>608</v>
      </c>
      <c r="F23" s="37" t="s">
        <v>608</v>
      </c>
      <c r="G23" s="65" t="s">
        <v>608</v>
      </c>
      <c r="H23" s="65" t="s">
        <v>447</v>
      </c>
      <c r="I23" s="65" t="s">
        <v>608</v>
      </c>
      <c r="J23" s="37">
        <v>3863</v>
      </c>
    </row>
    <row r="24" spans="1:10" x14ac:dyDescent="0.25">
      <c r="A24" s="36" t="s">
        <v>268</v>
      </c>
      <c r="B24" s="37" t="s">
        <v>608</v>
      </c>
      <c r="C24" s="37" t="s">
        <v>608</v>
      </c>
      <c r="D24" s="37" t="s">
        <v>608</v>
      </c>
      <c r="E24" s="37" t="s">
        <v>608</v>
      </c>
      <c r="F24" s="38" t="s">
        <v>352</v>
      </c>
      <c r="G24" s="65" t="s">
        <v>608</v>
      </c>
      <c r="H24" s="65" t="s">
        <v>447</v>
      </c>
      <c r="I24" s="65" t="s">
        <v>608</v>
      </c>
      <c r="J24" s="37" t="s">
        <v>608</v>
      </c>
    </row>
    <row r="25" spans="1:10" x14ac:dyDescent="0.25">
      <c r="A25" s="36" t="s">
        <v>269</v>
      </c>
      <c r="B25" s="37">
        <v>2991</v>
      </c>
      <c r="C25" s="37">
        <v>2802</v>
      </c>
      <c r="D25" s="37">
        <v>3020</v>
      </c>
      <c r="E25" s="37">
        <v>1313</v>
      </c>
      <c r="F25" s="37">
        <v>738</v>
      </c>
      <c r="G25" s="65" t="s">
        <v>608</v>
      </c>
      <c r="H25" s="65" t="s">
        <v>447</v>
      </c>
      <c r="I25" s="65" t="s">
        <v>608</v>
      </c>
      <c r="J25" s="37">
        <v>11086</v>
      </c>
    </row>
    <row r="26" spans="1:10" x14ac:dyDescent="0.25">
      <c r="A26" s="36" t="s">
        <v>270</v>
      </c>
      <c r="B26" s="37">
        <v>13</v>
      </c>
      <c r="C26" s="37">
        <v>29</v>
      </c>
      <c r="D26" s="37">
        <v>30</v>
      </c>
      <c r="E26" s="37">
        <v>16</v>
      </c>
      <c r="F26" s="37">
        <v>5</v>
      </c>
      <c r="G26" s="65" t="s">
        <v>608</v>
      </c>
      <c r="H26" s="65" t="s">
        <v>447</v>
      </c>
      <c r="I26" s="65" t="s">
        <v>608</v>
      </c>
      <c r="J26" s="37">
        <v>103</v>
      </c>
    </row>
    <row r="27" spans="1:10" x14ac:dyDescent="0.25">
      <c r="A27" s="36" t="s">
        <v>271</v>
      </c>
      <c r="B27" s="37">
        <v>51956</v>
      </c>
      <c r="C27" s="37">
        <v>48548</v>
      </c>
      <c r="D27" s="37">
        <v>45487</v>
      </c>
      <c r="E27" s="37">
        <v>13348</v>
      </c>
      <c r="F27" s="37">
        <v>26023</v>
      </c>
      <c r="G27" s="65" t="s">
        <v>608</v>
      </c>
      <c r="H27" s="65" t="s">
        <v>447</v>
      </c>
      <c r="I27" s="65" t="s">
        <v>608</v>
      </c>
      <c r="J27" s="37">
        <v>189349</v>
      </c>
    </row>
    <row r="28" spans="1:10" x14ac:dyDescent="0.25">
      <c r="A28" s="36" t="s">
        <v>272</v>
      </c>
      <c r="B28" s="37">
        <v>446</v>
      </c>
      <c r="C28" s="37">
        <v>306</v>
      </c>
      <c r="D28" s="37">
        <v>357</v>
      </c>
      <c r="E28" s="37">
        <v>126</v>
      </c>
      <c r="F28" s="37">
        <v>166</v>
      </c>
      <c r="G28" s="65" t="s">
        <v>608</v>
      </c>
      <c r="H28" s="65" t="s">
        <v>447</v>
      </c>
      <c r="I28" s="65" t="s">
        <v>608</v>
      </c>
      <c r="J28" s="37">
        <v>1445</v>
      </c>
    </row>
    <row r="29" spans="1:10" s="70" customFormat="1" ht="15.75" thickBot="1" x14ac:dyDescent="0.3">
      <c r="A29" s="67" t="s">
        <v>235</v>
      </c>
      <c r="B29" s="68">
        <v>896120</v>
      </c>
      <c r="C29" s="68">
        <v>762091</v>
      </c>
      <c r="D29" s="68">
        <v>855175</v>
      </c>
      <c r="E29" s="68">
        <v>444549</v>
      </c>
      <c r="F29" s="68">
        <v>274743</v>
      </c>
      <c r="G29" s="69" t="s">
        <v>608</v>
      </c>
      <c r="H29" s="69" t="s">
        <v>447</v>
      </c>
      <c r="I29" s="69" t="s">
        <v>608</v>
      </c>
      <c r="J29" s="68">
        <v>3323003</v>
      </c>
    </row>
    <row r="30" spans="1:10" x14ac:dyDescent="0.25">
      <c r="A30" s="76" t="s">
        <v>570</v>
      </c>
      <c r="B30" s="77"/>
      <c r="C30" s="77"/>
      <c r="D30" s="77"/>
      <c r="E30" s="77"/>
      <c r="F30" s="77"/>
      <c r="G30" s="77"/>
      <c r="H30" s="77"/>
      <c r="I30" s="77"/>
      <c r="J30" s="77"/>
    </row>
    <row r="31" spans="1:10" x14ac:dyDescent="0.25">
      <c r="A31" s="76" t="s">
        <v>569</v>
      </c>
      <c r="B31" s="77"/>
      <c r="C31" s="77"/>
      <c r="D31" s="77"/>
      <c r="E31" s="77"/>
      <c r="F31" s="77"/>
      <c r="G31" s="77"/>
      <c r="H31" s="77"/>
      <c r="I31" s="77"/>
      <c r="J31" s="77"/>
    </row>
    <row r="32" spans="1:10" x14ac:dyDescent="0.25">
      <c r="A32" s="45"/>
      <c r="B32" s="33"/>
      <c r="C32" s="33"/>
      <c r="D32" s="33"/>
      <c r="E32" s="33"/>
      <c r="F32" s="33"/>
      <c r="G32" s="33"/>
      <c r="H32" s="33"/>
      <c r="I32" s="33"/>
      <c r="J32" s="33"/>
    </row>
    <row r="33" spans="1:10" x14ac:dyDescent="0.25">
      <c r="A33" s="33" t="s">
        <v>239</v>
      </c>
      <c r="B33" s="33"/>
      <c r="C33" s="33"/>
      <c r="D33" s="33"/>
      <c r="E33" s="33"/>
      <c r="F33" s="33"/>
      <c r="G33" s="33"/>
      <c r="H33" s="33"/>
      <c r="I33" s="33"/>
      <c r="J33" s="33"/>
    </row>
    <row r="34" spans="1:10" x14ac:dyDescent="0.25">
      <c r="A34" s="46" t="s">
        <v>212</v>
      </c>
      <c r="B34" s="33"/>
      <c r="C34" s="33"/>
      <c r="D34" s="33"/>
      <c r="E34" s="33"/>
      <c r="F34" s="33"/>
      <c r="G34" s="33"/>
      <c r="H34" s="33"/>
      <c r="I34" s="33"/>
      <c r="J34" s="33"/>
    </row>
    <row r="35" spans="1:10" x14ac:dyDescent="0.25">
      <c r="A35" s="33"/>
      <c r="B35" s="33"/>
      <c r="C35" s="33"/>
      <c r="D35" s="33"/>
      <c r="E35" s="33"/>
      <c r="F35" s="33"/>
      <c r="G35" s="33"/>
      <c r="H35" s="33"/>
      <c r="I35" s="33"/>
      <c r="J35" s="33"/>
    </row>
    <row r="36" spans="1:10" x14ac:dyDescent="0.25">
      <c r="A36" s="46" t="s">
        <v>70</v>
      </c>
      <c r="B36" s="33"/>
      <c r="C36" s="33"/>
      <c r="D36" s="33"/>
      <c r="E36" s="33"/>
      <c r="F36" s="33"/>
      <c r="G36" s="33"/>
      <c r="H36" s="33"/>
      <c r="I36" s="33"/>
      <c r="J36" s="33"/>
    </row>
    <row r="37" spans="1:10" x14ac:dyDescent="0.25">
      <c r="A37" s="33"/>
      <c r="B37" s="33"/>
      <c r="C37" s="33"/>
      <c r="D37" s="33"/>
      <c r="E37" s="33"/>
      <c r="F37" s="33"/>
      <c r="G37" s="33"/>
      <c r="H37" s="33"/>
      <c r="I37" s="33"/>
      <c r="J37" s="33"/>
    </row>
    <row r="38" spans="1:10" x14ac:dyDescent="0.25">
      <c r="A38" s="46" t="s">
        <v>240</v>
      </c>
      <c r="B38" s="33"/>
      <c r="C38" s="33"/>
      <c r="D38" s="33"/>
      <c r="E38" s="33"/>
      <c r="F38" s="33"/>
      <c r="G38" s="33"/>
      <c r="H38" s="33"/>
      <c r="I38" s="33"/>
      <c r="J38" s="33"/>
    </row>
  </sheetData>
  <mergeCells count="3">
    <mergeCell ref="A31:J31"/>
    <mergeCell ref="A30:J30"/>
    <mergeCell ref="A1:J1"/>
  </mergeCells>
  <hyperlinks>
    <hyperlink ref="A34" r:id="rId1" xr:uid="{00000000-0004-0000-3000-000000000000}"/>
    <hyperlink ref="A36" location="'Technical specifications'!A1" display="Technical specifications" xr:uid="{00000000-0004-0000-3000-000001000000}"/>
    <hyperlink ref="A38" location="Contents!A1" display="Back to contents" xr:uid="{00000000-0004-0000-3000-000002000000}"/>
  </hyperlink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38"/>
  <sheetViews>
    <sheetView workbookViewId="0">
      <selection sqref="A1:J1"/>
    </sheetView>
  </sheetViews>
  <sheetFormatPr defaultRowHeight="15" x14ac:dyDescent="0.25"/>
  <cols>
    <col min="1" max="1" width="70" customWidth="1"/>
    <col min="2" max="10" width="8.42578125" customWidth="1"/>
  </cols>
  <sheetData>
    <row r="1" spans="1:10" ht="33.75" customHeight="1" x14ac:dyDescent="0.25">
      <c r="A1" s="74" t="s">
        <v>49</v>
      </c>
      <c r="B1" s="75"/>
      <c r="C1" s="75"/>
      <c r="D1" s="75"/>
      <c r="E1" s="75"/>
      <c r="F1" s="75"/>
      <c r="G1" s="75"/>
      <c r="H1" s="75"/>
      <c r="I1" s="75"/>
      <c r="J1" s="75"/>
    </row>
    <row r="2" spans="1:10" x14ac:dyDescent="0.25">
      <c r="A2" s="34" t="s">
        <v>247</v>
      </c>
      <c r="B2" s="35" t="s">
        <v>338</v>
      </c>
      <c r="C2" s="35" t="s">
        <v>339</v>
      </c>
      <c r="D2" s="35" t="s">
        <v>340</v>
      </c>
      <c r="E2" s="35" t="s">
        <v>341</v>
      </c>
      <c r="F2" s="35" t="s">
        <v>342</v>
      </c>
      <c r="G2" s="35" t="s">
        <v>343</v>
      </c>
      <c r="H2" s="35" t="s">
        <v>344</v>
      </c>
      <c r="I2" s="35" t="s">
        <v>345</v>
      </c>
      <c r="J2" s="35" t="s">
        <v>235</v>
      </c>
    </row>
    <row r="3" spans="1:10" x14ac:dyDescent="0.25">
      <c r="A3" s="36" t="s">
        <v>248</v>
      </c>
      <c r="B3" s="37">
        <v>2928</v>
      </c>
      <c r="C3" s="37">
        <v>2673</v>
      </c>
      <c r="D3" s="37">
        <v>2209</v>
      </c>
      <c r="E3" s="37">
        <v>933</v>
      </c>
      <c r="F3" s="37">
        <v>811</v>
      </c>
      <c r="G3" s="37">
        <v>295</v>
      </c>
      <c r="H3" s="37">
        <v>250</v>
      </c>
      <c r="I3" s="37">
        <v>119</v>
      </c>
      <c r="J3" s="37">
        <v>10218</v>
      </c>
    </row>
    <row r="4" spans="1:10" x14ac:dyDescent="0.25">
      <c r="A4" s="36" t="s">
        <v>249</v>
      </c>
      <c r="B4" s="37">
        <v>69612</v>
      </c>
      <c r="C4" s="37">
        <v>53799</v>
      </c>
      <c r="D4" s="37">
        <v>49921</v>
      </c>
      <c r="E4" s="37">
        <v>21637</v>
      </c>
      <c r="F4" s="37">
        <v>15641</v>
      </c>
      <c r="G4" s="37">
        <v>5264</v>
      </c>
      <c r="H4" s="37">
        <v>4288</v>
      </c>
      <c r="I4" s="37">
        <v>3088</v>
      </c>
      <c r="J4" s="37">
        <v>223250</v>
      </c>
    </row>
    <row r="5" spans="1:10" x14ac:dyDescent="0.25">
      <c r="A5" s="36" t="s">
        <v>250</v>
      </c>
      <c r="B5" s="37">
        <v>7331</v>
      </c>
      <c r="C5" s="37">
        <v>5348</v>
      </c>
      <c r="D5" s="37">
        <v>5449</v>
      </c>
      <c r="E5" s="37">
        <v>3077</v>
      </c>
      <c r="F5" s="37">
        <v>1107</v>
      </c>
      <c r="G5" s="37">
        <v>241</v>
      </c>
      <c r="H5" s="37">
        <v>374</v>
      </c>
      <c r="I5" s="37">
        <v>405</v>
      </c>
      <c r="J5" s="37">
        <v>23332</v>
      </c>
    </row>
    <row r="6" spans="1:10" x14ac:dyDescent="0.25">
      <c r="A6" s="36" t="s">
        <v>251</v>
      </c>
      <c r="B6" s="37">
        <v>34532</v>
      </c>
      <c r="C6" s="37">
        <v>30716</v>
      </c>
      <c r="D6" s="37">
        <v>26425</v>
      </c>
      <c r="E6" s="37">
        <v>12414</v>
      </c>
      <c r="F6" s="37">
        <v>7593</v>
      </c>
      <c r="G6" s="37">
        <v>2767</v>
      </c>
      <c r="H6" s="37">
        <v>2377</v>
      </c>
      <c r="I6" s="37">
        <v>2373</v>
      </c>
      <c r="J6" s="37">
        <v>119197</v>
      </c>
    </row>
    <row r="7" spans="1:10" x14ac:dyDescent="0.25">
      <c r="A7" s="36" t="s">
        <v>252</v>
      </c>
      <c r="B7" s="37">
        <v>104954</v>
      </c>
      <c r="C7" s="37">
        <v>84072</v>
      </c>
      <c r="D7" s="37">
        <v>71201</v>
      </c>
      <c r="E7" s="37">
        <v>33053</v>
      </c>
      <c r="F7" s="37">
        <v>26854</v>
      </c>
      <c r="G7" s="37">
        <v>7817</v>
      </c>
      <c r="H7" s="37">
        <v>5543</v>
      </c>
      <c r="I7" s="37">
        <v>5995</v>
      </c>
      <c r="J7" s="37">
        <v>339489</v>
      </c>
    </row>
    <row r="8" spans="1:10" x14ac:dyDescent="0.25">
      <c r="A8" s="36" t="s">
        <v>253</v>
      </c>
      <c r="B8" s="37">
        <v>97548</v>
      </c>
      <c r="C8" s="37">
        <v>76977</v>
      </c>
      <c r="D8" s="37">
        <v>69246</v>
      </c>
      <c r="E8" s="37">
        <v>26408</v>
      </c>
      <c r="F8" s="37">
        <v>22249</v>
      </c>
      <c r="G8" s="37">
        <v>6941</v>
      </c>
      <c r="H8" s="37">
        <v>6349</v>
      </c>
      <c r="I8" s="37">
        <v>4397</v>
      </c>
      <c r="J8" s="37">
        <v>310115</v>
      </c>
    </row>
    <row r="9" spans="1:10" x14ac:dyDescent="0.25">
      <c r="A9" s="36" t="s">
        <v>254</v>
      </c>
      <c r="B9" s="37">
        <v>106209</v>
      </c>
      <c r="C9" s="37">
        <v>88484</v>
      </c>
      <c r="D9" s="37">
        <v>73057</v>
      </c>
      <c r="E9" s="37">
        <v>32838</v>
      </c>
      <c r="F9" s="37">
        <v>23258</v>
      </c>
      <c r="G9" s="37">
        <v>7897</v>
      </c>
      <c r="H9" s="37">
        <v>7085</v>
      </c>
      <c r="I9" s="37">
        <v>4574</v>
      </c>
      <c r="J9" s="37">
        <v>343402</v>
      </c>
    </row>
    <row r="10" spans="1:10" x14ac:dyDescent="0.25">
      <c r="A10" s="36" t="s">
        <v>255</v>
      </c>
      <c r="B10" s="37">
        <v>31223</v>
      </c>
      <c r="C10" s="37">
        <v>26085</v>
      </c>
      <c r="D10" s="37">
        <v>22245</v>
      </c>
      <c r="E10" s="37">
        <v>10732</v>
      </c>
      <c r="F10" s="37">
        <v>7097</v>
      </c>
      <c r="G10" s="37">
        <v>2498</v>
      </c>
      <c r="H10" s="37">
        <v>2100</v>
      </c>
      <c r="I10" s="37">
        <v>1292</v>
      </c>
      <c r="J10" s="37">
        <v>103272</v>
      </c>
    </row>
    <row r="11" spans="1:10" x14ac:dyDescent="0.25">
      <c r="A11" s="36" t="s">
        <v>256</v>
      </c>
      <c r="B11" s="37">
        <v>93989</v>
      </c>
      <c r="C11" s="37">
        <v>76746</v>
      </c>
      <c r="D11" s="37">
        <v>63449</v>
      </c>
      <c r="E11" s="37">
        <v>31532</v>
      </c>
      <c r="F11" s="37">
        <v>20069</v>
      </c>
      <c r="G11" s="37">
        <v>7487</v>
      </c>
      <c r="H11" s="37">
        <v>6004</v>
      </c>
      <c r="I11" s="37">
        <v>4541</v>
      </c>
      <c r="J11" s="37">
        <v>303817</v>
      </c>
    </row>
    <row r="12" spans="1:10" x14ac:dyDescent="0.25">
      <c r="A12" s="36" t="s">
        <v>257</v>
      </c>
      <c r="B12" s="37">
        <v>40756</v>
      </c>
      <c r="C12" s="37">
        <v>31612</v>
      </c>
      <c r="D12" s="37">
        <v>35537</v>
      </c>
      <c r="E12" s="37">
        <v>15127</v>
      </c>
      <c r="F12" s="37">
        <v>10228</v>
      </c>
      <c r="G12" s="37">
        <v>2745</v>
      </c>
      <c r="H12" s="37">
        <v>2534</v>
      </c>
      <c r="I12" s="37">
        <v>4377</v>
      </c>
      <c r="J12" s="37">
        <v>142916</v>
      </c>
    </row>
    <row r="13" spans="1:10" x14ac:dyDescent="0.25">
      <c r="A13" s="36" t="s">
        <v>258</v>
      </c>
      <c r="B13" s="37">
        <v>21499</v>
      </c>
      <c r="C13" s="37">
        <v>18718</v>
      </c>
      <c r="D13" s="37">
        <v>16403</v>
      </c>
      <c r="E13" s="37">
        <v>7671</v>
      </c>
      <c r="F13" s="37">
        <v>5675</v>
      </c>
      <c r="G13" s="37">
        <v>1677</v>
      </c>
      <c r="H13" s="37">
        <v>1464</v>
      </c>
      <c r="I13" s="37">
        <v>1560</v>
      </c>
      <c r="J13" s="37">
        <v>74667</v>
      </c>
    </row>
    <row r="14" spans="1:10" x14ac:dyDescent="0.25">
      <c r="A14" s="36" t="s">
        <v>259</v>
      </c>
      <c r="B14" s="37">
        <v>53833</v>
      </c>
      <c r="C14" s="37">
        <v>39971</v>
      </c>
      <c r="D14" s="37">
        <v>36036</v>
      </c>
      <c r="E14" s="37">
        <v>14954</v>
      </c>
      <c r="F14" s="37">
        <v>13603</v>
      </c>
      <c r="G14" s="37">
        <v>3357</v>
      </c>
      <c r="H14" s="37">
        <v>5034</v>
      </c>
      <c r="I14" s="37">
        <v>3409</v>
      </c>
      <c r="J14" s="37">
        <v>170197</v>
      </c>
    </row>
    <row r="15" spans="1:10" x14ac:dyDescent="0.25">
      <c r="A15" s="36" t="s">
        <v>260</v>
      </c>
      <c r="B15" s="37">
        <v>6426</v>
      </c>
      <c r="C15" s="37">
        <v>5727</v>
      </c>
      <c r="D15" s="37">
        <v>5139</v>
      </c>
      <c r="E15" s="37">
        <v>2323</v>
      </c>
      <c r="F15" s="37">
        <v>1640</v>
      </c>
      <c r="G15" s="37">
        <v>484</v>
      </c>
      <c r="H15" s="37">
        <v>426</v>
      </c>
      <c r="I15" s="37">
        <v>327</v>
      </c>
      <c r="J15" s="37">
        <v>22492</v>
      </c>
    </row>
    <row r="16" spans="1:10" x14ac:dyDescent="0.25">
      <c r="A16" s="36" t="s">
        <v>261</v>
      </c>
      <c r="B16" s="37">
        <v>13674</v>
      </c>
      <c r="C16" s="37">
        <v>12671</v>
      </c>
      <c r="D16" s="37">
        <v>10782</v>
      </c>
      <c r="E16" s="37">
        <v>4793</v>
      </c>
      <c r="F16" s="37">
        <v>2997</v>
      </c>
      <c r="G16" s="37">
        <v>1125</v>
      </c>
      <c r="H16" s="37">
        <v>1101</v>
      </c>
      <c r="I16" s="37">
        <v>790</v>
      </c>
      <c r="J16" s="37">
        <v>47933</v>
      </c>
    </row>
    <row r="17" spans="1:10" x14ac:dyDescent="0.25">
      <c r="A17" s="36" t="s">
        <v>262</v>
      </c>
      <c r="B17" s="37">
        <v>86610</v>
      </c>
      <c r="C17" s="37">
        <v>72766</v>
      </c>
      <c r="D17" s="37">
        <v>59257</v>
      </c>
      <c r="E17" s="37">
        <v>28723</v>
      </c>
      <c r="F17" s="37">
        <v>17709</v>
      </c>
      <c r="G17" s="37">
        <v>5591</v>
      </c>
      <c r="H17" s="37">
        <v>6493</v>
      </c>
      <c r="I17" s="37">
        <v>4606</v>
      </c>
      <c r="J17" s="37">
        <v>281755</v>
      </c>
    </row>
    <row r="18" spans="1:10" x14ac:dyDescent="0.25">
      <c r="A18" s="36" t="s">
        <v>263</v>
      </c>
      <c r="B18" s="37">
        <v>21652</v>
      </c>
      <c r="C18" s="37">
        <v>18071</v>
      </c>
      <c r="D18" s="37">
        <v>23698</v>
      </c>
      <c r="E18" s="37">
        <v>7251</v>
      </c>
      <c r="F18" s="37">
        <v>5599</v>
      </c>
      <c r="G18" s="37">
        <v>1283</v>
      </c>
      <c r="H18" s="37">
        <v>1399</v>
      </c>
      <c r="I18" s="37">
        <v>998</v>
      </c>
      <c r="J18" s="37">
        <v>79951</v>
      </c>
    </row>
    <row r="19" spans="1:10" x14ac:dyDescent="0.25">
      <c r="A19" s="36" t="s">
        <v>264</v>
      </c>
      <c r="B19" s="37">
        <v>12060</v>
      </c>
      <c r="C19" s="37">
        <v>8725</v>
      </c>
      <c r="D19" s="37">
        <v>7491</v>
      </c>
      <c r="E19" s="37">
        <v>3258</v>
      </c>
      <c r="F19" s="37">
        <v>2873</v>
      </c>
      <c r="G19" s="37">
        <v>728</v>
      </c>
      <c r="H19" s="37">
        <v>695</v>
      </c>
      <c r="I19" s="37">
        <v>490</v>
      </c>
      <c r="J19" s="37">
        <v>36320</v>
      </c>
    </row>
    <row r="20" spans="1:10" x14ac:dyDescent="0.25">
      <c r="A20" s="36" t="s">
        <v>265</v>
      </c>
      <c r="B20" s="37">
        <v>6993</v>
      </c>
      <c r="C20" s="37">
        <v>7292</v>
      </c>
      <c r="D20" s="37">
        <v>4834</v>
      </c>
      <c r="E20" s="37">
        <v>2276</v>
      </c>
      <c r="F20" s="37">
        <v>2055</v>
      </c>
      <c r="G20" s="37">
        <v>721</v>
      </c>
      <c r="H20" s="37">
        <v>389</v>
      </c>
      <c r="I20" s="37">
        <v>156</v>
      </c>
      <c r="J20" s="37">
        <v>24716</v>
      </c>
    </row>
    <row r="21" spans="1:10" x14ac:dyDescent="0.25">
      <c r="A21" s="36" t="s">
        <v>266</v>
      </c>
      <c r="B21" s="37">
        <v>29359</v>
      </c>
      <c r="C21" s="37">
        <v>21205</v>
      </c>
      <c r="D21" s="37">
        <v>21652</v>
      </c>
      <c r="E21" s="37">
        <v>7753</v>
      </c>
      <c r="F21" s="37">
        <v>6760</v>
      </c>
      <c r="G21" s="37">
        <v>1828</v>
      </c>
      <c r="H21" s="37">
        <v>1821</v>
      </c>
      <c r="I21" s="37">
        <v>1524</v>
      </c>
      <c r="J21" s="37">
        <v>91902</v>
      </c>
    </row>
    <row r="22" spans="1:10" x14ac:dyDescent="0.25">
      <c r="A22" s="36" t="s">
        <v>267</v>
      </c>
      <c r="B22" s="37">
        <v>4262</v>
      </c>
      <c r="C22" s="37">
        <v>7851</v>
      </c>
      <c r="D22" s="37">
        <v>6217</v>
      </c>
      <c r="E22" s="37">
        <v>2354</v>
      </c>
      <c r="F22" s="37">
        <v>2340</v>
      </c>
      <c r="G22" s="37">
        <v>453</v>
      </c>
      <c r="H22" s="37">
        <v>431</v>
      </c>
      <c r="I22" s="37">
        <v>287</v>
      </c>
      <c r="J22" s="37">
        <v>24195</v>
      </c>
    </row>
    <row r="23" spans="1:10" x14ac:dyDescent="0.25">
      <c r="A23" s="36" t="s">
        <v>273</v>
      </c>
      <c r="B23" s="37">
        <v>9541</v>
      </c>
      <c r="C23" s="37">
        <v>5297</v>
      </c>
      <c r="D23" s="37">
        <v>5759</v>
      </c>
      <c r="E23" s="37">
        <v>2678</v>
      </c>
      <c r="F23" s="37">
        <v>1757</v>
      </c>
      <c r="G23" s="37">
        <v>629</v>
      </c>
      <c r="H23" s="37">
        <v>832</v>
      </c>
      <c r="I23" s="37">
        <v>779</v>
      </c>
      <c r="J23" s="37">
        <v>27272</v>
      </c>
    </row>
    <row r="24" spans="1:10" x14ac:dyDescent="0.25">
      <c r="A24" s="36" t="s">
        <v>268</v>
      </c>
      <c r="B24" s="37">
        <v>2102</v>
      </c>
      <c r="C24" s="37">
        <v>1899</v>
      </c>
      <c r="D24" s="37">
        <v>1977</v>
      </c>
      <c r="E24" s="37">
        <v>837</v>
      </c>
      <c r="F24" s="37">
        <v>545</v>
      </c>
      <c r="G24" s="37">
        <v>204</v>
      </c>
      <c r="H24" s="37">
        <v>196</v>
      </c>
      <c r="I24" s="37">
        <v>93</v>
      </c>
      <c r="J24" s="37">
        <v>7853</v>
      </c>
    </row>
    <row r="25" spans="1:10" x14ac:dyDescent="0.25">
      <c r="A25" s="36" t="s">
        <v>269</v>
      </c>
      <c r="B25" s="37">
        <v>35872</v>
      </c>
      <c r="C25" s="37">
        <v>28201</v>
      </c>
      <c r="D25" s="37">
        <v>26206</v>
      </c>
      <c r="E25" s="37">
        <v>10818</v>
      </c>
      <c r="F25" s="37">
        <v>8054</v>
      </c>
      <c r="G25" s="37">
        <v>2670</v>
      </c>
      <c r="H25" s="37">
        <v>2120</v>
      </c>
      <c r="I25" s="37">
        <v>2608</v>
      </c>
      <c r="J25" s="37">
        <v>116549</v>
      </c>
    </row>
    <row r="26" spans="1:10" x14ac:dyDescent="0.25">
      <c r="A26" s="36" t="s">
        <v>270</v>
      </c>
      <c r="B26" s="37">
        <v>1093</v>
      </c>
      <c r="C26" s="37">
        <v>985</v>
      </c>
      <c r="D26" s="37">
        <v>1222</v>
      </c>
      <c r="E26" s="37">
        <v>729</v>
      </c>
      <c r="F26" s="37">
        <v>488</v>
      </c>
      <c r="G26" s="37">
        <v>143</v>
      </c>
      <c r="H26" s="37">
        <v>27</v>
      </c>
      <c r="I26" s="37">
        <v>197</v>
      </c>
      <c r="J26" s="37">
        <v>4884</v>
      </c>
    </row>
    <row r="27" spans="1:10" x14ac:dyDescent="0.25">
      <c r="A27" s="36" t="s">
        <v>271</v>
      </c>
      <c r="B27" s="37">
        <v>19159</v>
      </c>
      <c r="C27" s="37">
        <v>19489</v>
      </c>
      <c r="D27" s="37">
        <v>10726</v>
      </c>
      <c r="E27" s="37">
        <v>3372</v>
      </c>
      <c r="F27" s="37">
        <v>4831</v>
      </c>
      <c r="G27" s="37">
        <v>992</v>
      </c>
      <c r="H27" s="37">
        <v>1513</v>
      </c>
      <c r="I27" s="37">
        <v>860</v>
      </c>
      <c r="J27" s="37">
        <v>60942</v>
      </c>
    </row>
    <row r="28" spans="1:10" x14ac:dyDescent="0.25">
      <c r="A28" s="36" t="s">
        <v>272</v>
      </c>
      <c r="B28" s="37">
        <v>1403</v>
      </c>
      <c r="C28" s="37">
        <v>1000</v>
      </c>
      <c r="D28" s="37">
        <v>647</v>
      </c>
      <c r="E28" s="37">
        <v>422</v>
      </c>
      <c r="F28" s="37">
        <v>380</v>
      </c>
      <c r="G28" s="37">
        <v>93</v>
      </c>
      <c r="H28" s="37">
        <v>175</v>
      </c>
      <c r="I28" s="37">
        <v>56</v>
      </c>
      <c r="J28" s="37">
        <v>4176</v>
      </c>
    </row>
    <row r="29" spans="1:10" s="70" customFormat="1" ht="15.75" thickBot="1" x14ac:dyDescent="0.3">
      <c r="A29" s="67" t="s">
        <v>235</v>
      </c>
      <c r="B29" s="68">
        <v>914620</v>
      </c>
      <c r="C29" s="68">
        <v>746380</v>
      </c>
      <c r="D29" s="68">
        <v>656785</v>
      </c>
      <c r="E29" s="68">
        <v>287963</v>
      </c>
      <c r="F29" s="68">
        <v>212213</v>
      </c>
      <c r="G29" s="68">
        <v>65930</v>
      </c>
      <c r="H29" s="68">
        <v>61020</v>
      </c>
      <c r="I29" s="68">
        <v>49901</v>
      </c>
      <c r="J29" s="68">
        <v>2994812</v>
      </c>
    </row>
    <row r="30" spans="1:10" x14ac:dyDescent="0.25">
      <c r="A30" s="76" t="s">
        <v>570</v>
      </c>
      <c r="B30" s="77"/>
      <c r="C30" s="77"/>
      <c r="D30" s="77"/>
      <c r="E30" s="77"/>
      <c r="F30" s="77"/>
      <c r="G30" s="77"/>
      <c r="H30" s="77"/>
      <c r="I30" s="77"/>
      <c r="J30" s="77"/>
    </row>
    <row r="31" spans="1:10" x14ac:dyDescent="0.25">
      <c r="A31" s="76" t="s">
        <v>569</v>
      </c>
      <c r="B31" s="77"/>
      <c r="C31" s="77"/>
      <c r="D31" s="77"/>
      <c r="E31" s="77"/>
      <c r="F31" s="77"/>
      <c r="G31" s="77"/>
      <c r="H31" s="77"/>
      <c r="I31" s="77"/>
      <c r="J31" s="77"/>
    </row>
    <row r="32" spans="1:10" x14ac:dyDescent="0.25">
      <c r="A32" s="45"/>
      <c r="B32" s="33"/>
      <c r="C32" s="33"/>
      <c r="D32" s="33"/>
      <c r="E32" s="33"/>
      <c r="F32" s="33"/>
      <c r="G32" s="33"/>
      <c r="H32" s="33"/>
      <c r="I32" s="33"/>
      <c r="J32" s="33"/>
    </row>
    <row r="33" spans="1:10" x14ac:dyDescent="0.25">
      <c r="A33" s="33" t="s">
        <v>239</v>
      </c>
      <c r="B33" s="33"/>
      <c r="C33" s="33"/>
      <c r="D33" s="33"/>
      <c r="E33" s="33"/>
      <c r="F33" s="33"/>
      <c r="G33" s="33"/>
      <c r="H33" s="33"/>
      <c r="I33" s="33"/>
      <c r="J33" s="33"/>
    </row>
    <row r="34" spans="1:10" x14ac:dyDescent="0.25">
      <c r="A34" s="46" t="s">
        <v>212</v>
      </c>
      <c r="B34" s="33"/>
      <c r="C34" s="33"/>
      <c r="D34" s="33"/>
      <c r="E34" s="33"/>
      <c r="F34" s="33"/>
      <c r="G34" s="33"/>
      <c r="H34" s="33"/>
      <c r="I34" s="33"/>
      <c r="J34" s="33"/>
    </row>
    <row r="35" spans="1:10" x14ac:dyDescent="0.25">
      <c r="A35" s="33"/>
      <c r="B35" s="33"/>
      <c r="C35" s="33"/>
      <c r="D35" s="33"/>
      <c r="E35" s="33"/>
      <c r="F35" s="33"/>
      <c r="G35" s="33"/>
      <c r="H35" s="33"/>
      <c r="I35" s="33"/>
      <c r="J35" s="33"/>
    </row>
    <row r="36" spans="1:10" x14ac:dyDescent="0.25">
      <c r="A36" s="46" t="s">
        <v>70</v>
      </c>
      <c r="B36" s="33"/>
      <c r="C36" s="33"/>
      <c r="D36" s="33"/>
      <c r="E36" s="33"/>
      <c r="F36" s="33"/>
      <c r="G36" s="33"/>
      <c r="H36" s="33"/>
      <c r="I36" s="33"/>
      <c r="J36" s="33"/>
    </row>
    <row r="37" spans="1:10" x14ac:dyDescent="0.25">
      <c r="A37" s="33"/>
      <c r="B37" s="33"/>
      <c r="C37" s="33"/>
      <c r="D37" s="33"/>
      <c r="E37" s="33"/>
      <c r="F37" s="33"/>
      <c r="G37" s="33"/>
      <c r="H37" s="33"/>
      <c r="I37" s="33"/>
      <c r="J37" s="33"/>
    </row>
    <row r="38" spans="1:10" x14ac:dyDescent="0.25">
      <c r="A38" s="46" t="s">
        <v>240</v>
      </c>
      <c r="B38" s="33"/>
      <c r="C38" s="33"/>
      <c r="D38" s="33"/>
      <c r="E38" s="33"/>
      <c r="F38" s="33"/>
      <c r="G38" s="33"/>
      <c r="H38" s="33"/>
      <c r="I38" s="33"/>
      <c r="J38" s="33"/>
    </row>
  </sheetData>
  <mergeCells count="3">
    <mergeCell ref="A1:J1"/>
    <mergeCell ref="A31:J31"/>
    <mergeCell ref="A30:J30"/>
  </mergeCells>
  <hyperlinks>
    <hyperlink ref="A34" r:id="rId1" xr:uid="{00000000-0004-0000-3100-000000000000}"/>
    <hyperlink ref="A36" location="'Technical specifications'!A1" display="Technical specifications" xr:uid="{00000000-0004-0000-3100-000001000000}"/>
    <hyperlink ref="A38" location="Contents!A1" display="Back to contents" xr:uid="{00000000-0004-0000-3100-000002000000}"/>
  </hyperlink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38"/>
  <sheetViews>
    <sheetView workbookViewId="0">
      <selection sqref="A1:J1"/>
    </sheetView>
  </sheetViews>
  <sheetFormatPr defaultRowHeight="15" x14ac:dyDescent="0.25"/>
  <cols>
    <col min="1" max="1" width="70" customWidth="1"/>
    <col min="2" max="10" width="8.42578125" customWidth="1"/>
  </cols>
  <sheetData>
    <row r="1" spans="1:10" ht="33.75" customHeight="1" x14ac:dyDescent="0.25">
      <c r="A1" s="74" t="s">
        <v>50</v>
      </c>
      <c r="B1" s="75"/>
      <c r="C1" s="75"/>
      <c r="D1" s="75"/>
      <c r="E1" s="75"/>
      <c r="F1" s="75"/>
      <c r="G1" s="75"/>
      <c r="H1" s="75"/>
      <c r="I1" s="75"/>
      <c r="J1" s="75"/>
    </row>
    <row r="2" spans="1:10" x14ac:dyDescent="0.25">
      <c r="A2" s="34" t="s">
        <v>247</v>
      </c>
      <c r="B2" s="35" t="s">
        <v>338</v>
      </c>
      <c r="C2" s="35" t="s">
        <v>339</v>
      </c>
      <c r="D2" s="35" t="s">
        <v>340</v>
      </c>
      <c r="E2" s="35" t="s">
        <v>341</v>
      </c>
      <c r="F2" s="35" t="s">
        <v>342</v>
      </c>
      <c r="G2" s="64" t="s">
        <v>343</v>
      </c>
      <c r="H2" s="64" t="s">
        <v>344</v>
      </c>
      <c r="I2" s="64" t="s">
        <v>345</v>
      </c>
      <c r="J2" s="35" t="s">
        <v>235</v>
      </c>
    </row>
    <row r="3" spans="1:10" x14ac:dyDescent="0.25">
      <c r="A3" s="36" t="s">
        <v>248</v>
      </c>
      <c r="B3" s="37">
        <v>340</v>
      </c>
      <c r="C3" s="37">
        <v>142</v>
      </c>
      <c r="D3" s="37">
        <v>240</v>
      </c>
      <c r="E3" s="37">
        <v>39</v>
      </c>
      <c r="F3" s="37">
        <v>86</v>
      </c>
      <c r="G3" s="65" t="s">
        <v>608</v>
      </c>
      <c r="H3" s="65" t="s">
        <v>447</v>
      </c>
      <c r="I3" s="65" t="s">
        <v>608</v>
      </c>
      <c r="J3" s="37">
        <v>857</v>
      </c>
    </row>
    <row r="4" spans="1:10" x14ac:dyDescent="0.25">
      <c r="A4" s="36" t="s">
        <v>249</v>
      </c>
      <c r="B4" s="37">
        <v>9434</v>
      </c>
      <c r="C4" s="37">
        <v>9411</v>
      </c>
      <c r="D4" s="37">
        <v>11185</v>
      </c>
      <c r="E4" s="37">
        <v>3599</v>
      </c>
      <c r="F4" s="37">
        <v>1623</v>
      </c>
      <c r="G4" s="65" t="s">
        <v>608</v>
      </c>
      <c r="H4" s="65" t="s">
        <v>447</v>
      </c>
      <c r="I4" s="65" t="s">
        <v>608</v>
      </c>
      <c r="J4" s="37">
        <v>35710</v>
      </c>
    </row>
    <row r="5" spans="1:10" x14ac:dyDescent="0.25">
      <c r="A5" s="36" t="s">
        <v>250</v>
      </c>
      <c r="B5" s="37">
        <v>1586</v>
      </c>
      <c r="C5" s="37">
        <v>1533</v>
      </c>
      <c r="D5" s="37">
        <v>1142</v>
      </c>
      <c r="E5" s="37">
        <v>505</v>
      </c>
      <c r="F5" s="37">
        <v>581</v>
      </c>
      <c r="G5" s="65" t="s">
        <v>608</v>
      </c>
      <c r="H5" s="65" t="s">
        <v>447</v>
      </c>
      <c r="I5" s="65" t="s">
        <v>608</v>
      </c>
      <c r="J5" s="37">
        <v>5428</v>
      </c>
    </row>
    <row r="6" spans="1:10" x14ac:dyDescent="0.25">
      <c r="A6" s="36" t="s">
        <v>251</v>
      </c>
      <c r="B6" s="37">
        <v>15275</v>
      </c>
      <c r="C6" s="37">
        <v>13999</v>
      </c>
      <c r="D6" s="37">
        <v>16072</v>
      </c>
      <c r="E6" s="37">
        <v>6486</v>
      </c>
      <c r="F6" s="37">
        <v>5842</v>
      </c>
      <c r="G6" s="65" t="s">
        <v>608</v>
      </c>
      <c r="H6" s="65" t="s">
        <v>447</v>
      </c>
      <c r="I6" s="65" t="s">
        <v>608</v>
      </c>
      <c r="J6" s="37">
        <v>59213</v>
      </c>
    </row>
    <row r="7" spans="1:10" x14ac:dyDescent="0.25">
      <c r="A7" s="36" t="s">
        <v>252</v>
      </c>
      <c r="B7" s="37">
        <v>17175</v>
      </c>
      <c r="C7" s="37">
        <v>24912</v>
      </c>
      <c r="D7" s="37">
        <v>25719</v>
      </c>
      <c r="E7" s="37">
        <v>10957</v>
      </c>
      <c r="F7" s="37">
        <v>6516</v>
      </c>
      <c r="G7" s="65" t="s">
        <v>608</v>
      </c>
      <c r="H7" s="65" t="s">
        <v>447</v>
      </c>
      <c r="I7" s="65" t="s">
        <v>608</v>
      </c>
      <c r="J7" s="37">
        <v>86863</v>
      </c>
    </row>
    <row r="8" spans="1:10" x14ac:dyDescent="0.25">
      <c r="A8" s="36" t="s">
        <v>253</v>
      </c>
      <c r="B8" s="37">
        <v>35471</v>
      </c>
      <c r="C8" s="37">
        <v>37954</v>
      </c>
      <c r="D8" s="37">
        <v>39505</v>
      </c>
      <c r="E8" s="37">
        <v>14258</v>
      </c>
      <c r="F8" s="37">
        <v>10316</v>
      </c>
      <c r="G8" s="65" t="s">
        <v>608</v>
      </c>
      <c r="H8" s="65" t="s">
        <v>447</v>
      </c>
      <c r="I8" s="65" t="s">
        <v>608</v>
      </c>
      <c r="J8" s="37">
        <v>139853</v>
      </c>
    </row>
    <row r="9" spans="1:10" x14ac:dyDescent="0.25">
      <c r="A9" s="36" t="s">
        <v>254</v>
      </c>
      <c r="B9" s="37">
        <v>28331</v>
      </c>
      <c r="C9" s="37">
        <v>34666</v>
      </c>
      <c r="D9" s="37">
        <v>34946</v>
      </c>
      <c r="E9" s="37">
        <v>12743</v>
      </c>
      <c r="F9" s="37">
        <v>9250</v>
      </c>
      <c r="G9" s="65" t="s">
        <v>608</v>
      </c>
      <c r="H9" s="65" t="s">
        <v>447</v>
      </c>
      <c r="I9" s="65" t="s">
        <v>608</v>
      </c>
      <c r="J9" s="37">
        <v>123387</v>
      </c>
    </row>
    <row r="10" spans="1:10" x14ac:dyDescent="0.25">
      <c r="A10" s="36" t="s">
        <v>255</v>
      </c>
      <c r="B10" s="37">
        <v>9053</v>
      </c>
      <c r="C10" s="37">
        <v>8860</v>
      </c>
      <c r="D10" s="37">
        <v>9334</v>
      </c>
      <c r="E10" s="37">
        <v>4003</v>
      </c>
      <c r="F10" s="37">
        <v>3227</v>
      </c>
      <c r="G10" s="65" t="s">
        <v>608</v>
      </c>
      <c r="H10" s="65" t="s">
        <v>447</v>
      </c>
      <c r="I10" s="65" t="s">
        <v>608</v>
      </c>
      <c r="J10" s="37">
        <v>35416</v>
      </c>
    </row>
    <row r="11" spans="1:10" x14ac:dyDescent="0.25">
      <c r="A11" s="36" t="s">
        <v>256</v>
      </c>
      <c r="B11" s="37">
        <v>69928</v>
      </c>
      <c r="C11" s="37">
        <v>69432</v>
      </c>
      <c r="D11" s="37">
        <v>69129</v>
      </c>
      <c r="E11" s="37">
        <v>35134</v>
      </c>
      <c r="F11" s="37">
        <v>22941</v>
      </c>
      <c r="G11" s="65" t="s">
        <v>608</v>
      </c>
      <c r="H11" s="65" t="s">
        <v>447</v>
      </c>
      <c r="I11" s="65" t="s">
        <v>608</v>
      </c>
      <c r="J11" s="37">
        <v>275332</v>
      </c>
    </row>
    <row r="12" spans="1:10" x14ac:dyDescent="0.25">
      <c r="A12" s="36" t="s">
        <v>257</v>
      </c>
      <c r="B12" s="37">
        <v>16486</v>
      </c>
      <c r="C12" s="37">
        <v>15998</v>
      </c>
      <c r="D12" s="37">
        <v>17219</v>
      </c>
      <c r="E12" s="37">
        <v>7196</v>
      </c>
      <c r="F12" s="37">
        <v>4703</v>
      </c>
      <c r="G12" s="65" t="s">
        <v>608</v>
      </c>
      <c r="H12" s="65" t="s">
        <v>447</v>
      </c>
      <c r="I12" s="65" t="s">
        <v>608</v>
      </c>
      <c r="J12" s="37">
        <v>63135</v>
      </c>
    </row>
    <row r="13" spans="1:10" x14ac:dyDescent="0.25">
      <c r="A13" s="36" t="s">
        <v>258</v>
      </c>
      <c r="B13" s="37">
        <v>10837</v>
      </c>
      <c r="C13" s="37">
        <v>9399</v>
      </c>
      <c r="D13" s="37">
        <v>11011</v>
      </c>
      <c r="E13" s="37">
        <v>5211</v>
      </c>
      <c r="F13" s="37">
        <v>2781</v>
      </c>
      <c r="G13" s="65" t="s">
        <v>608</v>
      </c>
      <c r="H13" s="65" t="s">
        <v>447</v>
      </c>
      <c r="I13" s="65" t="s">
        <v>608</v>
      </c>
      <c r="J13" s="37">
        <v>40172</v>
      </c>
    </row>
    <row r="14" spans="1:10" x14ac:dyDescent="0.25">
      <c r="A14" s="36" t="s">
        <v>259</v>
      </c>
      <c r="B14" s="37">
        <v>13263</v>
      </c>
      <c r="C14" s="37">
        <v>18184</v>
      </c>
      <c r="D14" s="37">
        <v>16379</v>
      </c>
      <c r="E14" s="37">
        <v>5626</v>
      </c>
      <c r="F14" s="37">
        <v>5036</v>
      </c>
      <c r="G14" s="65" t="s">
        <v>608</v>
      </c>
      <c r="H14" s="65" t="s">
        <v>447</v>
      </c>
      <c r="I14" s="65" t="s">
        <v>608</v>
      </c>
      <c r="J14" s="37">
        <v>59781</v>
      </c>
    </row>
    <row r="15" spans="1:10" x14ac:dyDescent="0.25">
      <c r="A15" s="36" t="s">
        <v>260</v>
      </c>
      <c r="B15" s="37">
        <v>7039</v>
      </c>
      <c r="C15" s="37">
        <v>6771</v>
      </c>
      <c r="D15" s="37">
        <v>7364</v>
      </c>
      <c r="E15" s="37">
        <v>3104</v>
      </c>
      <c r="F15" s="37">
        <v>2312</v>
      </c>
      <c r="G15" s="65" t="s">
        <v>608</v>
      </c>
      <c r="H15" s="65" t="s">
        <v>447</v>
      </c>
      <c r="I15" s="65" t="s">
        <v>608</v>
      </c>
      <c r="J15" s="37">
        <v>27149</v>
      </c>
    </row>
    <row r="16" spans="1:10" x14ac:dyDescent="0.25">
      <c r="A16" s="36" t="s">
        <v>261</v>
      </c>
      <c r="B16" s="37">
        <v>14926</v>
      </c>
      <c r="C16" s="37">
        <v>11522</v>
      </c>
      <c r="D16" s="37">
        <v>12407</v>
      </c>
      <c r="E16" s="37">
        <v>5204</v>
      </c>
      <c r="F16" s="37">
        <v>4775</v>
      </c>
      <c r="G16" s="65" t="s">
        <v>608</v>
      </c>
      <c r="H16" s="65" t="s">
        <v>447</v>
      </c>
      <c r="I16" s="65" t="s">
        <v>608</v>
      </c>
      <c r="J16" s="37">
        <v>50063</v>
      </c>
    </row>
    <row r="17" spans="1:10" x14ac:dyDescent="0.25">
      <c r="A17" s="36" t="s">
        <v>262</v>
      </c>
      <c r="B17" s="37">
        <v>21107</v>
      </c>
      <c r="C17" s="37">
        <v>17617</v>
      </c>
      <c r="D17" s="37">
        <v>14150</v>
      </c>
      <c r="E17" s="37">
        <v>7618</v>
      </c>
      <c r="F17" s="37">
        <v>3589</v>
      </c>
      <c r="G17" s="65" t="s">
        <v>608</v>
      </c>
      <c r="H17" s="65" t="s">
        <v>447</v>
      </c>
      <c r="I17" s="65" t="s">
        <v>608</v>
      </c>
      <c r="J17" s="37">
        <v>65444</v>
      </c>
    </row>
    <row r="18" spans="1:10" x14ac:dyDescent="0.25">
      <c r="A18" s="36" t="s">
        <v>263</v>
      </c>
      <c r="B18" s="37">
        <v>4208</v>
      </c>
      <c r="C18" s="37">
        <v>2280</v>
      </c>
      <c r="D18" s="37">
        <v>1871</v>
      </c>
      <c r="E18" s="37">
        <v>1250</v>
      </c>
      <c r="F18" s="37">
        <v>472</v>
      </c>
      <c r="G18" s="65" t="s">
        <v>608</v>
      </c>
      <c r="H18" s="65" t="s">
        <v>447</v>
      </c>
      <c r="I18" s="65" t="s">
        <v>608</v>
      </c>
      <c r="J18" s="37">
        <v>10163</v>
      </c>
    </row>
    <row r="19" spans="1:10" x14ac:dyDescent="0.25">
      <c r="A19" s="36" t="s">
        <v>264</v>
      </c>
      <c r="B19" s="37">
        <v>1579</v>
      </c>
      <c r="C19" s="37">
        <v>2461</v>
      </c>
      <c r="D19" s="37">
        <v>2269</v>
      </c>
      <c r="E19" s="37">
        <v>920</v>
      </c>
      <c r="F19" s="37">
        <v>673</v>
      </c>
      <c r="G19" s="65" t="s">
        <v>608</v>
      </c>
      <c r="H19" s="65" t="s">
        <v>447</v>
      </c>
      <c r="I19" s="65" t="s">
        <v>608</v>
      </c>
      <c r="J19" s="37">
        <v>8052</v>
      </c>
    </row>
    <row r="20" spans="1:10" x14ac:dyDescent="0.25">
      <c r="A20" s="36" t="s">
        <v>265</v>
      </c>
      <c r="B20" s="37">
        <v>1635</v>
      </c>
      <c r="C20" s="37">
        <v>2832</v>
      </c>
      <c r="D20" s="37">
        <v>3001</v>
      </c>
      <c r="E20" s="37">
        <v>1108</v>
      </c>
      <c r="F20" s="37">
        <v>618</v>
      </c>
      <c r="G20" s="65" t="s">
        <v>608</v>
      </c>
      <c r="H20" s="65" t="s">
        <v>447</v>
      </c>
      <c r="I20" s="65" t="s">
        <v>608</v>
      </c>
      <c r="J20" s="37">
        <v>9333</v>
      </c>
    </row>
    <row r="21" spans="1:10" x14ac:dyDescent="0.25">
      <c r="A21" s="36" t="s">
        <v>266</v>
      </c>
      <c r="B21" s="37">
        <v>2814</v>
      </c>
      <c r="C21" s="37">
        <v>3531</v>
      </c>
      <c r="D21" s="37">
        <v>5325</v>
      </c>
      <c r="E21" s="37">
        <v>1552</v>
      </c>
      <c r="F21" s="37">
        <v>673</v>
      </c>
      <c r="G21" s="65" t="s">
        <v>608</v>
      </c>
      <c r="H21" s="65" t="s">
        <v>447</v>
      </c>
      <c r="I21" s="65" t="s">
        <v>608</v>
      </c>
      <c r="J21" s="37">
        <v>14171</v>
      </c>
    </row>
    <row r="22" spans="1:10" x14ac:dyDescent="0.25">
      <c r="A22" s="36" t="s">
        <v>267</v>
      </c>
      <c r="B22" s="37">
        <v>460</v>
      </c>
      <c r="C22" s="37">
        <v>261</v>
      </c>
      <c r="D22" s="37">
        <v>309</v>
      </c>
      <c r="E22" s="37">
        <v>99</v>
      </c>
      <c r="F22" s="37">
        <v>21</v>
      </c>
      <c r="G22" s="65" t="s">
        <v>608</v>
      </c>
      <c r="H22" s="65" t="s">
        <v>447</v>
      </c>
      <c r="I22" s="65" t="s">
        <v>608</v>
      </c>
      <c r="J22" s="37">
        <v>1262</v>
      </c>
    </row>
    <row r="23" spans="1:10" x14ac:dyDescent="0.25">
      <c r="A23" s="36" t="s">
        <v>273</v>
      </c>
      <c r="B23" s="37">
        <v>79</v>
      </c>
      <c r="C23" s="37">
        <v>478</v>
      </c>
      <c r="D23" s="37">
        <v>192</v>
      </c>
      <c r="E23" s="37">
        <v>27</v>
      </c>
      <c r="F23" s="37" t="s">
        <v>608</v>
      </c>
      <c r="G23" s="65" t="s">
        <v>608</v>
      </c>
      <c r="H23" s="65" t="s">
        <v>447</v>
      </c>
      <c r="I23" s="65" t="s">
        <v>608</v>
      </c>
      <c r="J23" s="37">
        <v>813</v>
      </c>
    </row>
    <row r="24" spans="1:10" x14ac:dyDescent="0.25">
      <c r="A24" s="36" t="s">
        <v>268</v>
      </c>
      <c r="B24" s="37">
        <v>68</v>
      </c>
      <c r="C24" s="37">
        <v>54</v>
      </c>
      <c r="D24" s="37">
        <v>88</v>
      </c>
      <c r="E24" s="37" t="s">
        <v>608</v>
      </c>
      <c r="F24" s="37">
        <v>16</v>
      </c>
      <c r="G24" s="65" t="s">
        <v>608</v>
      </c>
      <c r="H24" s="65" t="s">
        <v>447</v>
      </c>
      <c r="I24" s="65" t="s">
        <v>608</v>
      </c>
      <c r="J24" s="37">
        <v>241</v>
      </c>
    </row>
    <row r="25" spans="1:10" x14ac:dyDescent="0.25">
      <c r="A25" s="36" t="s">
        <v>269</v>
      </c>
      <c r="B25" s="37">
        <v>3301</v>
      </c>
      <c r="C25" s="37">
        <v>3858</v>
      </c>
      <c r="D25" s="37">
        <v>5362</v>
      </c>
      <c r="E25" s="37">
        <v>1831</v>
      </c>
      <c r="F25" s="37">
        <v>909</v>
      </c>
      <c r="G25" s="65" t="s">
        <v>608</v>
      </c>
      <c r="H25" s="65" t="s">
        <v>447</v>
      </c>
      <c r="I25" s="65" t="s">
        <v>608</v>
      </c>
      <c r="J25" s="37">
        <v>15646</v>
      </c>
    </row>
    <row r="26" spans="1:10" x14ac:dyDescent="0.25">
      <c r="A26" s="36" t="s">
        <v>270</v>
      </c>
      <c r="B26" s="37">
        <v>15</v>
      </c>
      <c r="C26" s="37">
        <v>38</v>
      </c>
      <c r="D26" s="37">
        <v>23</v>
      </c>
      <c r="E26" s="37" t="s">
        <v>608</v>
      </c>
      <c r="F26" s="37" t="s">
        <v>608</v>
      </c>
      <c r="G26" s="65" t="s">
        <v>608</v>
      </c>
      <c r="H26" s="65" t="s">
        <v>447</v>
      </c>
      <c r="I26" s="65" t="s">
        <v>608</v>
      </c>
      <c r="J26" s="37">
        <v>91</v>
      </c>
    </row>
    <row r="27" spans="1:10" x14ac:dyDescent="0.25">
      <c r="A27" s="36" t="s">
        <v>271</v>
      </c>
      <c r="B27" s="37">
        <v>4052</v>
      </c>
      <c r="C27" s="37">
        <v>7692</v>
      </c>
      <c r="D27" s="37">
        <v>5941</v>
      </c>
      <c r="E27" s="37">
        <v>1429</v>
      </c>
      <c r="F27" s="37">
        <v>1856</v>
      </c>
      <c r="G27" s="65" t="s">
        <v>608</v>
      </c>
      <c r="H27" s="65" t="s">
        <v>447</v>
      </c>
      <c r="I27" s="65" t="s">
        <v>608</v>
      </c>
      <c r="J27" s="37">
        <v>21888</v>
      </c>
    </row>
    <row r="28" spans="1:10" x14ac:dyDescent="0.25">
      <c r="A28" s="36" t="s">
        <v>272</v>
      </c>
      <c r="B28" s="37">
        <v>652</v>
      </c>
      <c r="C28" s="37">
        <v>838</v>
      </c>
      <c r="D28" s="37">
        <v>673</v>
      </c>
      <c r="E28" s="37">
        <v>204</v>
      </c>
      <c r="F28" s="37">
        <v>177</v>
      </c>
      <c r="G28" s="65" t="s">
        <v>608</v>
      </c>
      <c r="H28" s="65" t="s">
        <v>447</v>
      </c>
      <c r="I28" s="65" t="s">
        <v>608</v>
      </c>
      <c r="J28" s="37">
        <v>2595</v>
      </c>
    </row>
    <row r="29" spans="1:10" s="70" customFormat="1" ht="15.75" thickBot="1" x14ac:dyDescent="0.3">
      <c r="A29" s="67" t="s">
        <v>235</v>
      </c>
      <c r="B29" s="68">
        <v>289114</v>
      </c>
      <c r="C29" s="68">
        <v>304723</v>
      </c>
      <c r="D29" s="68">
        <v>310856</v>
      </c>
      <c r="E29" s="68">
        <v>130119</v>
      </c>
      <c r="F29" s="68">
        <v>88997</v>
      </c>
      <c r="G29" s="69" t="s">
        <v>608</v>
      </c>
      <c r="H29" s="69" t="s">
        <v>447</v>
      </c>
      <c r="I29" s="69" t="s">
        <v>608</v>
      </c>
      <c r="J29" s="68">
        <v>1152058</v>
      </c>
    </row>
    <row r="30" spans="1:10" x14ac:dyDescent="0.25">
      <c r="A30" s="76" t="s">
        <v>570</v>
      </c>
      <c r="B30" s="77"/>
      <c r="C30" s="77"/>
      <c r="D30" s="77"/>
      <c r="E30" s="77"/>
      <c r="F30" s="77"/>
      <c r="G30" s="77"/>
      <c r="H30" s="77"/>
      <c r="I30" s="77"/>
      <c r="J30" s="77"/>
    </row>
    <row r="31" spans="1:10" x14ac:dyDescent="0.25">
      <c r="A31" s="76" t="s">
        <v>569</v>
      </c>
      <c r="B31" s="77"/>
      <c r="C31" s="77"/>
      <c r="D31" s="77"/>
      <c r="E31" s="77"/>
      <c r="F31" s="77"/>
      <c r="G31" s="77"/>
      <c r="H31" s="77"/>
      <c r="I31" s="77"/>
      <c r="J31" s="77"/>
    </row>
    <row r="32" spans="1:10" x14ac:dyDescent="0.25">
      <c r="A32" s="45"/>
      <c r="B32" s="33"/>
      <c r="C32" s="33"/>
      <c r="D32" s="33"/>
      <c r="E32" s="33"/>
      <c r="F32" s="33"/>
      <c r="G32" s="33"/>
      <c r="H32" s="33"/>
      <c r="I32" s="33"/>
      <c r="J32" s="33"/>
    </row>
    <row r="33" spans="1:10" x14ac:dyDescent="0.25">
      <c r="A33" s="33" t="s">
        <v>239</v>
      </c>
      <c r="B33" s="33"/>
      <c r="C33" s="33"/>
      <c r="D33" s="33"/>
      <c r="E33" s="33"/>
      <c r="F33" s="33"/>
      <c r="G33" s="33"/>
      <c r="H33" s="33"/>
      <c r="I33" s="33"/>
      <c r="J33" s="33"/>
    </row>
    <row r="34" spans="1:10" x14ac:dyDescent="0.25">
      <c r="A34" s="46" t="s">
        <v>212</v>
      </c>
      <c r="B34" s="33"/>
      <c r="C34" s="33"/>
      <c r="D34" s="33"/>
      <c r="E34" s="33"/>
      <c r="F34" s="33"/>
      <c r="G34" s="33"/>
      <c r="H34" s="33"/>
      <c r="I34" s="33"/>
      <c r="J34" s="33"/>
    </row>
    <row r="35" spans="1:10" x14ac:dyDescent="0.25">
      <c r="A35" s="33"/>
      <c r="B35" s="33"/>
      <c r="C35" s="33"/>
      <c r="D35" s="33"/>
      <c r="E35" s="33"/>
      <c r="F35" s="33"/>
      <c r="G35" s="33"/>
      <c r="H35" s="33"/>
      <c r="I35" s="33"/>
      <c r="J35" s="33"/>
    </row>
    <row r="36" spans="1:10" x14ac:dyDescent="0.25">
      <c r="A36" s="46" t="s">
        <v>70</v>
      </c>
      <c r="B36" s="33"/>
      <c r="C36" s="33"/>
      <c r="D36" s="33"/>
      <c r="E36" s="33"/>
      <c r="F36" s="33"/>
      <c r="G36" s="33"/>
      <c r="H36" s="33"/>
      <c r="I36" s="33"/>
      <c r="J36" s="33"/>
    </row>
    <row r="37" spans="1:10" x14ac:dyDescent="0.25">
      <c r="A37" s="33"/>
      <c r="B37" s="33"/>
      <c r="C37" s="33"/>
      <c r="D37" s="33"/>
      <c r="E37" s="33"/>
      <c r="F37" s="33"/>
      <c r="G37" s="33"/>
      <c r="H37" s="33"/>
      <c r="I37" s="33"/>
      <c r="J37" s="33"/>
    </row>
    <row r="38" spans="1:10" x14ac:dyDescent="0.25">
      <c r="A38" s="46" t="s">
        <v>240</v>
      </c>
      <c r="B38" s="33"/>
      <c r="C38" s="33"/>
      <c r="D38" s="33"/>
      <c r="E38" s="33"/>
      <c r="F38" s="33"/>
      <c r="J38" s="33"/>
    </row>
  </sheetData>
  <mergeCells count="3">
    <mergeCell ref="A31:J31"/>
    <mergeCell ref="A30:J30"/>
    <mergeCell ref="A1:J1"/>
  </mergeCells>
  <hyperlinks>
    <hyperlink ref="A34" r:id="rId1" xr:uid="{00000000-0004-0000-3200-000000000000}"/>
    <hyperlink ref="A36" location="'Technical specifications'!A1" display="Technical specifications" xr:uid="{00000000-0004-0000-3200-000001000000}"/>
    <hyperlink ref="A38" location="Contents!A1" display="Back to contents" xr:uid="{00000000-0004-0000-3200-000002000000}"/>
  </hyperlink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A43CD-4AB7-40B9-B816-A76DF0B88CDB}">
  <dimension ref="A1:K28"/>
  <sheetViews>
    <sheetView workbookViewId="0">
      <selection sqref="A1:K1"/>
    </sheetView>
  </sheetViews>
  <sheetFormatPr defaultRowHeight="15" x14ac:dyDescent="0.25"/>
  <cols>
    <col min="1" max="1" width="17" customWidth="1"/>
    <col min="2" max="2" width="50" customWidth="1"/>
    <col min="3" max="10" width="8.42578125" customWidth="1"/>
    <col min="11" max="11" width="10" customWidth="1"/>
  </cols>
  <sheetData>
    <row r="1" spans="1:11" ht="33.75" customHeight="1" thickBot="1" x14ac:dyDescent="0.3">
      <c r="A1" s="74" t="s">
        <v>51</v>
      </c>
      <c r="B1" s="75"/>
      <c r="C1" s="75"/>
      <c r="D1" s="75"/>
      <c r="E1" s="75"/>
      <c r="F1" s="75"/>
      <c r="G1" s="75"/>
      <c r="H1" s="75"/>
      <c r="I1" s="75"/>
      <c r="J1" s="75"/>
      <c r="K1" s="75"/>
    </row>
    <row r="2" spans="1:11" ht="15.75" thickBot="1" x14ac:dyDescent="0.3">
      <c r="A2" s="34" t="s">
        <v>214</v>
      </c>
      <c r="B2" s="34" t="s">
        <v>242</v>
      </c>
      <c r="C2" s="35" t="s">
        <v>338</v>
      </c>
      <c r="D2" s="35" t="s">
        <v>339</v>
      </c>
      <c r="E2" s="35" t="s">
        <v>340</v>
      </c>
      <c r="F2" s="35" t="s">
        <v>341</v>
      </c>
      <c r="G2" s="35" t="s">
        <v>342</v>
      </c>
      <c r="H2" s="35" t="s">
        <v>343</v>
      </c>
      <c r="I2" s="35" t="s">
        <v>344</v>
      </c>
      <c r="J2" s="35" t="s">
        <v>345</v>
      </c>
      <c r="K2" s="35" t="s">
        <v>235</v>
      </c>
    </row>
    <row r="3" spans="1:11" x14ac:dyDescent="0.25">
      <c r="A3" s="36" t="s">
        <v>224</v>
      </c>
      <c r="B3" s="36" t="s">
        <v>571</v>
      </c>
      <c r="C3" s="37">
        <v>43</v>
      </c>
      <c r="D3" s="37">
        <v>22</v>
      </c>
      <c r="E3" s="37">
        <v>9</v>
      </c>
      <c r="F3" s="37">
        <v>10</v>
      </c>
      <c r="G3" s="37">
        <v>5</v>
      </c>
      <c r="H3" s="37">
        <v>2</v>
      </c>
      <c r="I3" s="37">
        <v>1</v>
      </c>
      <c r="J3" s="37">
        <v>2</v>
      </c>
      <c r="K3" s="37">
        <v>94</v>
      </c>
    </row>
    <row r="4" spans="1:11" x14ac:dyDescent="0.25">
      <c r="A4" s="36" t="s">
        <v>224</v>
      </c>
      <c r="B4" s="36" t="s">
        <v>320</v>
      </c>
      <c r="C4" s="37">
        <v>35685</v>
      </c>
      <c r="D4" s="37">
        <v>31979</v>
      </c>
      <c r="E4" s="37">
        <v>13621</v>
      </c>
      <c r="F4" s="37">
        <v>12003</v>
      </c>
      <c r="G4" s="37">
        <v>9247</v>
      </c>
      <c r="H4" s="37">
        <v>2255</v>
      </c>
      <c r="I4" s="37">
        <v>3150</v>
      </c>
      <c r="J4" s="37">
        <v>2010</v>
      </c>
      <c r="K4" s="37">
        <v>109950</v>
      </c>
    </row>
    <row r="5" spans="1:11" x14ac:dyDescent="0.25">
      <c r="A5" s="36" t="s">
        <v>224</v>
      </c>
      <c r="B5" s="36" t="s">
        <v>572</v>
      </c>
      <c r="C5" s="37">
        <v>3341863</v>
      </c>
      <c r="D5" s="37">
        <v>3638305</v>
      </c>
      <c r="E5" s="37">
        <v>1204704</v>
      </c>
      <c r="F5" s="37">
        <v>1404795</v>
      </c>
      <c r="G5" s="37">
        <v>904426</v>
      </c>
      <c r="H5" s="37">
        <v>209243</v>
      </c>
      <c r="I5" s="37">
        <v>353911</v>
      </c>
      <c r="J5" s="37">
        <v>157428</v>
      </c>
      <c r="K5" s="37">
        <v>11214675</v>
      </c>
    </row>
    <row r="6" spans="1:11" x14ac:dyDescent="0.25">
      <c r="A6" s="36" t="s">
        <v>224</v>
      </c>
      <c r="B6" s="36" t="s">
        <v>322</v>
      </c>
      <c r="C6" s="38">
        <v>93.648956143999996</v>
      </c>
      <c r="D6" s="38">
        <v>113.77169392</v>
      </c>
      <c r="E6" s="38">
        <v>88.444607590999993</v>
      </c>
      <c r="F6" s="38">
        <v>117.03699075</v>
      </c>
      <c r="G6" s="38">
        <v>97.807505137000007</v>
      </c>
      <c r="H6" s="38">
        <v>92.790687360999996</v>
      </c>
      <c r="I6" s="38">
        <v>112.35269841</v>
      </c>
      <c r="J6" s="38">
        <v>78.322388059999994</v>
      </c>
      <c r="K6" s="38">
        <v>101.99795362</v>
      </c>
    </row>
    <row r="7" spans="1:11" x14ac:dyDescent="0.25">
      <c r="A7" s="36" t="s">
        <v>224</v>
      </c>
      <c r="B7" s="36" t="s">
        <v>323</v>
      </c>
      <c r="C7" s="38">
        <v>18.137423576</v>
      </c>
      <c r="D7" s="38">
        <v>14.960620712000001</v>
      </c>
      <c r="E7" s="38">
        <v>7.4759286732000003</v>
      </c>
      <c r="F7" s="38">
        <v>17.242345234999998</v>
      </c>
      <c r="G7" s="38">
        <v>18.096279959</v>
      </c>
      <c r="H7" s="38">
        <v>12.664483844999999</v>
      </c>
      <c r="I7" s="38">
        <v>19.761234105</v>
      </c>
      <c r="J7" s="38">
        <v>11.168962509</v>
      </c>
      <c r="K7" s="38">
        <v>14.369633768</v>
      </c>
    </row>
    <row r="8" spans="1:11" x14ac:dyDescent="0.25">
      <c r="A8" s="36" t="s">
        <v>237</v>
      </c>
      <c r="B8" s="36" t="s">
        <v>320</v>
      </c>
      <c r="C8" s="37">
        <v>23455</v>
      </c>
      <c r="D8" s="37">
        <v>5662</v>
      </c>
      <c r="E8" s="37">
        <v>7371</v>
      </c>
      <c r="F8" s="37">
        <v>3788</v>
      </c>
      <c r="G8" s="37">
        <v>5760</v>
      </c>
      <c r="H8" s="58" t="s">
        <v>608</v>
      </c>
      <c r="I8" s="58" t="s">
        <v>447</v>
      </c>
      <c r="J8" s="58" t="s">
        <v>608</v>
      </c>
      <c r="K8" s="37">
        <v>46036</v>
      </c>
    </row>
    <row r="9" spans="1:11" x14ac:dyDescent="0.25">
      <c r="A9" s="36" t="s">
        <v>237</v>
      </c>
      <c r="B9" s="36" t="s">
        <v>572</v>
      </c>
      <c r="C9" s="37">
        <v>1004545</v>
      </c>
      <c r="D9" s="37">
        <v>320599</v>
      </c>
      <c r="E9" s="37">
        <v>422613</v>
      </c>
      <c r="F9" s="37">
        <v>189652</v>
      </c>
      <c r="G9" s="37">
        <v>220382</v>
      </c>
      <c r="H9" s="58" t="s">
        <v>608</v>
      </c>
      <c r="I9" s="58" t="s">
        <v>447</v>
      </c>
      <c r="J9" s="58" t="s">
        <v>608</v>
      </c>
      <c r="K9" s="37">
        <v>2157791</v>
      </c>
    </row>
    <row r="10" spans="1:11" x14ac:dyDescent="0.25">
      <c r="A10" s="36" t="s">
        <v>237</v>
      </c>
      <c r="B10" s="36" t="s">
        <v>322</v>
      </c>
      <c r="C10" s="38">
        <v>42.828607972999997</v>
      </c>
      <c r="D10" s="38">
        <v>56.622924761999997</v>
      </c>
      <c r="E10" s="38">
        <v>57.334554335</v>
      </c>
      <c r="F10" s="38">
        <v>50.066525871000003</v>
      </c>
      <c r="G10" s="38">
        <v>38.260763889000003</v>
      </c>
      <c r="H10" s="58" t="s">
        <v>608</v>
      </c>
      <c r="I10" s="58" t="s">
        <v>447</v>
      </c>
      <c r="J10" s="58" t="s">
        <v>608</v>
      </c>
      <c r="K10" s="38">
        <v>46.871817708000002</v>
      </c>
    </row>
    <row r="11" spans="1:11" x14ac:dyDescent="0.25">
      <c r="A11" s="36" t="s">
        <v>237</v>
      </c>
      <c r="B11" s="36" t="s">
        <v>323</v>
      </c>
      <c r="C11" s="38">
        <v>14.98642564</v>
      </c>
      <c r="D11" s="38">
        <v>5.0129706854</v>
      </c>
      <c r="E11" s="38">
        <v>5.5304746333999999</v>
      </c>
      <c r="F11" s="38">
        <v>6.4185330907000004</v>
      </c>
      <c r="G11" s="38">
        <v>15.081337107</v>
      </c>
      <c r="H11" s="58" t="s">
        <v>608</v>
      </c>
      <c r="I11" s="58" t="s">
        <v>447</v>
      </c>
      <c r="J11" s="58" t="s">
        <v>608</v>
      </c>
      <c r="K11" s="38">
        <v>8.9823677424999993</v>
      </c>
    </row>
    <row r="12" spans="1:11" x14ac:dyDescent="0.25">
      <c r="A12" s="36" t="s">
        <v>238</v>
      </c>
      <c r="B12" s="36" t="s">
        <v>320</v>
      </c>
      <c r="C12" s="37">
        <v>59140</v>
      </c>
      <c r="D12" s="37">
        <v>37641</v>
      </c>
      <c r="E12" s="37">
        <v>20992</v>
      </c>
      <c r="F12" s="37">
        <v>15791</v>
      </c>
      <c r="G12" s="37">
        <v>15007</v>
      </c>
      <c r="H12" s="58" t="s">
        <v>608</v>
      </c>
      <c r="I12" s="58" t="s">
        <v>447</v>
      </c>
      <c r="J12" s="58" t="s">
        <v>608</v>
      </c>
      <c r="K12" s="37">
        <v>155986</v>
      </c>
    </row>
    <row r="13" spans="1:11" x14ac:dyDescent="0.25">
      <c r="A13" s="36" t="s">
        <v>238</v>
      </c>
      <c r="B13" s="36" t="s">
        <v>572</v>
      </c>
      <c r="C13" s="37">
        <v>4346408</v>
      </c>
      <c r="D13" s="37">
        <v>3958904</v>
      </c>
      <c r="E13" s="37">
        <v>1627317</v>
      </c>
      <c r="F13" s="37">
        <v>1594447</v>
      </c>
      <c r="G13" s="37">
        <v>1124808</v>
      </c>
      <c r="H13" s="58" t="s">
        <v>608</v>
      </c>
      <c r="I13" s="58" t="s">
        <v>447</v>
      </c>
      <c r="J13" s="58" t="s">
        <v>608</v>
      </c>
      <c r="K13" s="37">
        <v>13372466</v>
      </c>
    </row>
    <row r="14" spans="1:11" x14ac:dyDescent="0.25">
      <c r="A14" s="36" t="s">
        <v>238</v>
      </c>
      <c r="B14" s="36" t="s">
        <v>603</v>
      </c>
      <c r="C14" s="37">
        <v>31874</v>
      </c>
      <c r="D14" s="37">
        <v>15049</v>
      </c>
      <c r="E14" s="37">
        <v>12629</v>
      </c>
      <c r="F14" s="37">
        <v>1633</v>
      </c>
      <c r="G14" s="38"/>
      <c r="H14" s="58" t="s">
        <v>608</v>
      </c>
      <c r="I14" s="58" t="s">
        <v>447</v>
      </c>
      <c r="J14" s="58" t="s">
        <v>608</v>
      </c>
      <c r="K14" s="37">
        <v>62017</v>
      </c>
    </row>
    <row r="15" spans="1:11" x14ac:dyDescent="0.25">
      <c r="A15" s="36" t="s">
        <v>238</v>
      </c>
      <c r="B15" s="36" t="s">
        <v>604</v>
      </c>
      <c r="C15" s="37">
        <v>78512</v>
      </c>
      <c r="D15" s="37">
        <v>52690</v>
      </c>
      <c r="E15" s="37">
        <v>33608</v>
      </c>
      <c r="F15" s="37">
        <v>15791</v>
      </c>
      <c r="G15" s="37">
        <v>15007</v>
      </c>
      <c r="H15" s="58" t="s">
        <v>608</v>
      </c>
      <c r="I15" s="58" t="s">
        <v>447</v>
      </c>
      <c r="J15" s="58" t="s">
        <v>608</v>
      </c>
      <c r="K15" s="37">
        <v>203855</v>
      </c>
    </row>
    <row r="16" spans="1:11" x14ac:dyDescent="0.25">
      <c r="A16" s="36" t="s">
        <v>238</v>
      </c>
      <c r="B16" s="36" t="s">
        <v>573</v>
      </c>
      <c r="C16" s="37">
        <v>2924830</v>
      </c>
      <c r="D16" s="37">
        <v>842909</v>
      </c>
      <c r="E16" s="37">
        <v>1447394</v>
      </c>
      <c r="F16" s="37">
        <v>420839</v>
      </c>
      <c r="G16" s="38"/>
      <c r="H16" s="58" t="s">
        <v>608</v>
      </c>
      <c r="I16" s="58" t="s">
        <v>447</v>
      </c>
      <c r="J16" s="58" t="s">
        <v>608</v>
      </c>
      <c r="K16" s="37">
        <v>5687014</v>
      </c>
    </row>
    <row r="17" spans="1:11" ht="15.75" thickBot="1" x14ac:dyDescent="0.3">
      <c r="A17" s="50" t="s">
        <v>238</v>
      </c>
      <c r="B17" s="50" t="s">
        <v>574</v>
      </c>
      <c r="C17" s="55">
        <v>7271238</v>
      </c>
      <c r="D17" s="55">
        <v>4801813</v>
      </c>
      <c r="E17" s="55">
        <v>3074711</v>
      </c>
      <c r="F17" s="55">
        <v>2015286</v>
      </c>
      <c r="G17" s="55">
        <v>1124808</v>
      </c>
      <c r="H17" s="71" t="s">
        <v>608</v>
      </c>
      <c r="I17" s="71" t="s">
        <v>447</v>
      </c>
      <c r="J17" s="71" t="s">
        <v>608</v>
      </c>
      <c r="K17" s="55">
        <v>19059480</v>
      </c>
    </row>
    <row r="18" spans="1:11" x14ac:dyDescent="0.25">
      <c r="A18" s="76" t="s">
        <v>575</v>
      </c>
      <c r="B18" s="77"/>
      <c r="C18" s="77"/>
      <c r="D18" s="77"/>
      <c r="E18" s="77"/>
      <c r="F18" s="77"/>
      <c r="G18" s="77"/>
      <c r="H18" s="77"/>
      <c r="I18" s="77"/>
      <c r="J18" s="77"/>
      <c r="K18" s="77"/>
    </row>
    <row r="19" spans="1:11" x14ac:dyDescent="0.25">
      <c r="A19" s="76" t="s">
        <v>324</v>
      </c>
      <c r="B19" s="77"/>
      <c r="C19" s="77"/>
      <c r="D19" s="77"/>
      <c r="E19" s="77"/>
      <c r="F19" s="77"/>
      <c r="G19" s="77"/>
      <c r="H19" s="77"/>
      <c r="I19" s="77"/>
      <c r="J19" s="77"/>
      <c r="K19" s="77"/>
    </row>
    <row r="20" spans="1:11" x14ac:dyDescent="0.25">
      <c r="A20" s="76" t="s">
        <v>576</v>
      </c>
      <c r="B20" s="77"/>
      <c r="C20" s="77"/>
      <c r="D20" s="77"/>
      <c r="E20" s="77"/>
      <c r="F20" s="77"/>
      <c r="G20" s="77"/>
      <c r="H20" s="77"/>
      <c r="I20" s="77"/>
      <c r="J20" s="77"/>
      <c r="K20" s="77"/>
    </row>
    <row r="21" spans="1:11" x14ac:dyDescent="0.25">
      <c r="A21" s="76" t="s">
        <v>577</v>
      </c>
      <c r="B21" s="77"/>
      <c r="C21" s="77"/>
      <c r="D21" s="77"/>
      <c r="E21" s="77"/>
      <c r="F21" s="77"/>
      <c r="G21" s="77"/>
      <c r="H21" s="77"/>
      <c r="I21" s="77"/>
      <c r="J21" s="77"/>
      <c r="K21" s="77"/>
    </row>
    <row r="22" spans="1:11" x14ac:dyDescent="0.25">
      <c r="A22" s="45"/>
      <c r="B22" s="33"/>
      <c r="C22" s="33"/>
      <c r="D22" s="33"/>
      <c r="E22" s="33"/>
      <c r="F22" s="33"/>
      <c r="G22" s="33"/>
      <c r="H22" s="33"/>
      <c r="I22" s="33"/>
      <c r="J22" s="33"/>
      <c r="K22" s="33"/>
    </row>
    <row r="23" spans="1:11" x14ac:dyDescent="0.25">
      <c r="A23" s="33" t="s">
        <v>239</v>
      </c>
      <c r="B23" s="33"/>
      <c r="C23" s="33"/>
      <c r="D23" s="33"/>
      <c r="E23" s="33"/>
      <c r="F23" s="33"/>
      <c r="G23" s="33"/>
      <c r="H23" s="33"/>
      <c r="I23" s="33"/>
      <c r="J23" s="33"/>
      <c r="K23" s="33"/>
    </row>
    <row r="24" spans="1:11" x14ac:dyDescent="0.25">
      <c r="A24" s="46" t="s">
        <v>212</v>
      </c>
      <c r="B24" s="33"/>
      <c r="C24" s="33"/>
      <c r="D24" s="33"/>
      <c r="E24" s="33"/>
      <c r="F24" s="33"/>
      <c r="G24" s="33"/>
      <c r="H24" s="33"/>
      <c r="I24" s="33"/>
      <c r="J24" s="33"/>
      <c r="K24" s="33"/>
    </row>
    <row r="25" spans="1:11" x14ac:dyDescent="0.25">
      <c r="A25" s="33"/>
      <c r="B25" s="33"/>
      <c r="C25" s="33"/>
      <c r="D25" s="33"/>
      <c r="E25" s="33"/>
      <c r="F25" s="33"/>
      <c r="G25" s="33"/>
      <c r="H25" s="33"/>
      <c r="I25" s="33"/>
      <c r="J25" s="33"/>
      <c r="K25" s="33"/>
    </row>
    <row r="26" spans="1:11" x14ac:dyDescent="0.25">
      <c r="A26" s="46" t="s">
        <v>70</v>
      </c>
      <c r="B26" s="33"/>
      <c r="C26" s="33"/>
      <c r="D26" s="33"/>
      <c r="E26" s="33"/>
      <c r="F26" s="33"/>
      <c r="G26" s="33"/>
      <c r="H26" s="33"/>
      <c r="I26" s="33"/>
      <c r="J26" s="33"/>
      <c r="K26" s="33"/>
    </row>
    <row r="27" spans="1:11" x14ac:dyDescent="0.25">
      <c r="A27" s="33"/>
      <c r="B27" s="33"/>
      <c r="C27" s="33"/>
      <c r="D27" s="33"/>
      <c r="E27" s="33"/>
      <c r="F27" s="33"/>
      <c r="G27" s="33"/>
      <c r="H27" s="33"/>
      <c r="I27" s="33"/>
      <c r="J27" s="33"/>
      <c r="K27" s="33"/>
    </row>
    <row r="28" spans="1:11" x14ac:dyDescent="0.25">
      <c r="A28" s="46" t="s">
        <v>240</v>
      </c>
      <c r="B28" s="33"/>
      <c r="C28" s="33"/>
      <c r="D28" s="33"/>
      <c r="E28" s="33"/>
      <c r="F28" s="33"/>
      <c r="G28" s="33"/>
      <c r="H28" s="33"/>
      <c r="I28" s="33"/>
      <c r="J28" s="33"/>
      <c r="K28" s="33"/>
    </row>
  </sheetData>
  <mergeCells count="5">
    <mergeCell ref="A1:K1"/>
    <mergeCell ref="A18:K18"/>
    <mergeCell ref="A19:K19"/>
    <mergeCell ref="A20:K20"/>
    <mergeCell ref="A21:K21"/>
  </mergeCells>
  <hyperlinks>
    <hyperlink ref="A24" r:id="rId1" xr:uid="{F8C02837-9ADA-41FA-9990-D74147F51BEC}"/>
    <hyperlink ref="A26" location="'Technical specifications'!A1" display="Technical specifications" xr:uid="{B29073CA-8A97-4C47-8FD8-EB55FBDA6FD0}"/>
    <hyperlink ref="A28" location="Contents!A1" display="Back to contents" xr:uid="{29FA3614-C3A1-4630-99E0-E2292CF65D20}"/>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K19"/>
  <sheetViews>
    <sheetView workbookViewId="0">
      <selection sqref="A1:K1"/>
    </sheetView>
  </sheetViews>
  <sheetFormatPr defaultRowHeight="15" x14ac:dyDescent="0.25"/>
  <cols>
    <col min="1" max="1" width="17" customWidth="1"/>
    <col min="2" max="2" width="55" customWidth="1"/>
    <col min="3" max="11" width="8.42578125" customWidth="1"/>
  </cols>
  <sheetData>
    <row r="1" spans="1:11" ht="33.75" customHeight="1" x14ac:dyDescent="0.25">
      <c r="A1" s="74" t="s">
        <v>52</v>
      </c>
      <c r="B1" s="75"/>
      <c r="C1" s="75"/>
      <c r="D1" s="75"/>
      <c r="E1" s="75"/>
      <c r="F1" s="75"/>
      <c r="G1" s="75"/>
      <c r="H1" s="75"/>
      <c r="I1" s="75"/>
      <c r="J1" s="75"/>
      <c r="K1" s="75"/>
    </row>
    <row r="2" spans="1:11" x14ac:dyDescent="0.25">
      <c r="A2" s="34" t="s">
        <v>214</v>
      </c>
      <c r="B2" s="34" t="s">
        <v>242</v>
      </c>
      <c r="C2" s="35" t="s">
        <v>338</v>
      </c>
      <c r="D2" s="35" t="s">
        <v>339</v>
      </c>
      <c r="E2" s="35" t="s">
        <v>340</v>
      </c>
      <c r="F2" s="35" t="s">
        <v>341</v>
      </c>
      <c r="G2" s="35" t="s">
        <v>342</v>
      </c>
      <c r="H2" s="35" t="s">
        <v>343</v>
      </c>
      <c r="I2" s="35" t="s">
        <v>344</v>
      </c>
      <c r="J2" s="35" t="s">
        <v>345</v>
      </c>
      <c r="K2" s="35" t="s">
        <v>235</v>
      </c>
    </row>
    <row r="3" spans="1:11" x14ac:dyDescent="0.25">
      <c r="A3" s="36" t="s">
        <v>224</v>
      </c>
      <c r="B3" s="36" t="s">
        <v>325</v>
      </c>
      <c r="C3" s="37">
        <v>58</v>
      </c>
      <c r="D3" s="37">
        <v>33</v>
      </c>
      <c r="E3" s="37">
        <v>47</v>
      </c>
      <c r="F3" s="37">
        <v>21</v>
      </c>
      <c r="G3" s="37">
        <v>24</v>
      </c>
      <c r="H3" s="37">
        <v>5</v>
      </c>
      <c r="I3" s="37">
        <v>2</v>
      </c>
      <c r="J3" s="37">
        <v>5</v>
      </c>
      <c r="K3" s="37">
        <v>195</v>
      </c>
    </row>
    <row r="4" spans="1:11" x14ac:dyDescent="0.25">
      <c r="A4" s="36" t="s">
        <v>224</v>
      </c>
      <c r="B4" s="36" t="s">
        <v>326</v>
      </c>
      <c r="C4" s="37">
        <v>10087</v>
      </c>
      <c r="D4" s="37">
        <v>12853</v>
      </c>
      <c r="E4" s="37">
        <v>7530</v>
      </c>
      <c r="F4" s="37">
        <v>3523</v>
      </c>
      <c r="G4" s="37">
        <v>2463</v>
      </c>
      <c r="H4" s="37">
        <v>1016</v>
      </c>
      <c r="I4" s="37">
        <v>615</v>
      </c>
      <c r="J4" s="37">
        <v>469</v>
      </c>
      <c r="K4" s="37">
        <v>38556</v>
      </c>
    </row>
    <row r="5" spans="1:11" x14ac:dyDescent="0.25">
      <c r="A5" s="36" t="s">
        <v>224</v>
      </c>
      <c r="B5" s="36" t="s">
        <v>327</v>
      </c>
      <c r="C5" s="37">
        <v>1220728</v>
      </c>
      <c r="D5" s="37">
        <v>1138060</v>
      </c>
      <c r="E5" s="37">
        <v>974349</v>
      </c>
      <c r="F5" s="37">
        <v>417111</v>
      </c>
      <c r="G5" s="37">
        <v>337650</v>
      </c>
      <c r="H5" s="37">
        <v>109659</v>
      </c>
      <c r="I5" s="37">
        <v>177437</v>
      </c>
      <c r="J5" s="37">
        <v>45446</v>
      </c>
      <c r="K5" s="37">
        <v>4420440</v>
      </c>
    </row>
    <row r="6" spans="1:11" x14ac:dyDescent="0.25">
      <c r="A6" s="36" t="s">
        <v>224</v>
      </c>
      <c r="B6" s="36" t="s">
        <v>328</v>
      </c>
      <c r="C6" s="38">
        <v>121.01992663999999</v>
      </c>
      <c r="D6" s="38">
        <v>88.544308721999997</v>
      </c>
      <c r="E6" s="38">
        <v>129.39561753000001</v>
      </c>
      <c r="F6" s="38">
        <v>118.39653704</v>
      </c>
      <c r="G6" s="38">
        <v>137.08891596000001</v>
      </c>
      <c r="H6" s="38">
        <v>107.93208661</v>
      </c>
      <c r="I6" s="38">
        <v>288.51544715</v>
      </c>
      <c r="J6" s="38">
        <v>96.899786779999999</v>
      </c>
      <c r="K6" s="38">
        <v>114.64985994</v>
      </c>
    </row>
    <row r="7" spans="1:11" x14ac:dyDescent="0.25">
      <c r="A7" s="36" t="s">
        <v>224</v>
      </c>
      <c r="B7" s="36" t="s">
        <v>329</v>
      </c>
      <c r="C7" s="38">
        <v>5.1268653948000003</v>
      </c>
      <c r="D7" s="38">
        <v>6.0129728263000004</v>
      </c>
      <c r="E7" s="38">
        <v>4.1328641736999998</v>
      </c>
      <c r="F7" s="38">
        <v>5.0607999885000003</v>
      </c>
      <c r="G7" s="38">
        <v>4.8200646198000001</v>
      </c>
      <c r="H7" s="38">
        <v>5.7060379541000001</v>
      </c>
      <c r="I7" s="38">
        <v>3.8581457062000002</v>
      </c>
      <c r="J7" s="38">
        <v>2.6060912521000001</v>
      </c>
      <c r="K7" s="38">
        <v>5.0389777133000004</v>
      </c>
    </row>
    <row r="8" spans="1:11" x14ac:dyDescent="0.25">
      <c r="A8" s="36" t="s">
        <v>237</v>
      </c>
      <c r="B8" s="36" t="s">
        <v>326</v>
      </c>
      <c r="C8" s="37">
        <v>3311</v>
      </c>
      <c r="D8" s="37">
        <v>1922</v>
      </c>
      <c r="E8" s="37">
        <v>712</v>
      </c>
      <c r="F8" s="37">
        <v>156</v>
      </c>
      <c r="G8" s="37">
        <v>900</v>
      </c>
      <c r="H8" s="58" t="s">
        <v>608</v>
      </c>
      <c r="I8" s="58" t="s">
        <v>447</v>
      </c>
      <c r="J8" s="58" t="s">
        <v>608</v>
      </c>
      <c r="K8" s="37">
        <v>7001</v>
      </c>
    </row>
    <row r="9" spans="1:11" x14ac:dyDescent="0.25">
      <c r="A9" s="36" t="s">
        <v>237</v>
      </c>
      <c r="B9" s="36" t="s">
        <v>327</v>
      </c>
      <c r="C9" s="37">
        <v>108586</v>
      </c>
      <c r="D9" s="37">
        <v>65505</v>
      </c>
      <c r="E9" s="37">
        <v>97089</v>
      </c>
      <c r="F9" s="37">
        <v>13234</v>
      </c>
      <c r="G9" s="37">
        <v>30998</v>
      </c>
      <c r="H9" s="58" t="s">
        <v>608</v>
      </c>
      <c r="I9" s="58" t="s">
        <v>447</v>
      </c>
      <c r="J9" s="58" t="s">
        <v>608</v>
      </c>
      <c r="K9" s="37">
        <v>315412</v>
      </c>
    </row>
    <row r="10" spans="1:11" x14ac:dyDescent="0.25">
      <c r="A10" s="36" t="s">
        <v>237</v>
      </c>
      <c r="B10" s="36" t="s">
        <v>328</v>
      </c>
      <c r="C10" s="38">
        <v>32.795530051</v>
      </c>
      <c r="D10" s="38">
        <v>34.081685743999998</v>
      </c>
      <c r="E10" s="38">
        <v>136.36095506000001</v>
      </c>
      <c r="F10" s="38">
        <v>84.833333332999999</v>
      </c>
      <c r="G10" s="38">
        <v>34.442222221999998</v>
      </c>
      <c r="H10" s="58" t="s">
        <v>608</v>
      </c>
      <c r="I10" s="58" t="s">
        <v>447</v>
      </c>
      <c r="J10" s="58" t="s">
        <v>608</v>
      </c>
      <c r="K10" s="38">
        <v>45.052421082999999</v>
      </c>
    </row>
    <row r="11" spans="1:11" ht="15.75" thickBot="1" x14ac:dyDescent="0.3">
      <c r="A11" s="52" t="s">
        <v>237</v>
      </c>
      <c r="B11" s="52" t="s">
        <v>329</v>
      </c>
      <c r="C11" s="54">
        <v>2.1155427539999998</v>
      </c>
      <c r="D11" s="54">
        <v>1.7016830903</v>
      </c>
      <c r="E11" s="54">
        <v>0.53421488790000005</v>
      </c>
      <c r="F11" s="54">
        <v>0.26433240819999998</v>
      </c>
      <c r="G11" s="54">
        <v>2.3564589229999999</v>
      </c>
      <c r="H11" s="72" t="s">
        <v>608</v>
      </c>
      <c r="I11" s="72" t="s">
        <v>447</v>
      </c>
      <c r="J11" s="72" t="s">
        <v>608</v>
      </c>
      <c r="K11" s="54">
        <v>1.3660082667</v>
      </c>
    </row>
    <row r="12" spans="1:11" x14ac:dyDescent="0.25">
      <c r="A12" s="76" t="s">
        <v>330</v>
      </c>
      <c r="B12" s="77"/>
      <c r="C12" s="77"/>
      <c r="D12" s="77"/>
      <c r="E12" s="77"/>
      <c r="F12" s="77"/>
      <c r="G12" s="77"/>
      <c r="H12" s="77"/>
      <c r="I12" s="77"/>
      <c r="J12" s="77"/>
      <c r="K12" s="77"/>
    </row>
    <row r="13" spans="1:11" x14ac:dyDescent="0.25">
      <c r="A13" s="45"/>
      <c r="B13" s="33"/>
      <c r="C13" s="33"/>
      <c r="D13" s="33"/>
      <c r="E13" s="33"/>
      <c r="F13" s="33"/>
      <c r="G13" s="33"/>
      <c r="H13" s="33"/>
      <c r="I13" s="33"/>
      <c r="J13" s="33"/>
      <c r="K13" s="33"/>
    </row>
    <row r="14" spans="1:11" x14ac:dyDescent="0.25">
      <c r="A14" s="33" t="s">
        <v>239</v>
      </c>
      <c r="B14" s="33"/>
      <c r="C14" s="33"/>
      <c r="D14" s="33"/>
      <c r="E14" s="33"/>
      <c r="F14" s="33"/>
      <c r="G14" s="33"/>
      <c r="H14" s="33"/>
      <c r="I14" s="33"/>
      <c r="J14" s="33"/>
      <c r="K14" s="33"/>
    </row>
    <row r="15" spans="1:11" x14ac:dyDescent="0.25">
      <c r="A15" s="46" t="s">
        <v>212</v>
      </c>
      <c r="B15" s="33"/>
      <c r="C15" s="33"/>
      <c r="D15" s="33"/>
      <c r="E15" s="33"/>
      <c r="F15" s="33"/>
      <c r="G15" s="33"/>
      <c r="H15" s="33"/>
      <c r="I15" s="33"/>
      <c r="J15" s="33"/>
      <c r="K15" s="33"/>
    </row>
    <row r="16" spans="1:11" x14ac:dyDescent="0.25">
      <c r="A16" s="33"/>
      <c r="B16" s="33"/>
      <c r="C16" s="33"/>
      <c r="D16" s="33"/>
      <c r="E16" s="33"/>
      <c r="F16" s="33"/>
      <c r="G16" s="33"/>
      <c r="H16" s="33"/>
      <c r="I16" s="33"/>
      <c r="J16" s="33"/>
      <c r="K16" s="33"/>
    </row>
    <row r="17" spans="1:11" x14ac:dyDescent="0.25">
      <c r="A17" s="46" t="s">
        <v>70</v>
      </c>
      <c r="B17" s="33"/>
      <c r="C17" s="33"/>
      <c r="D17" s="33"/>
      <c r="E17" s="33"/>
      <c r="F17" s="33"/>
      <c r="G17" s="33"/>
      <c r="H17" s="33"/>
      <c r="I17" s="33"/>
      <c r="J17" s="33"/>
      <c r="K17" s="33"/>
    </row>
    <row r="18" spans="1:11" x14ac:dyDescent="0.25">
      <c r="A18" s="33"/>
      <c r="B18" s="33"/>
      <c r="C18" s="33"/>
      <c r="D18" s="33"/>
      <c r="E18" s="33"/>
      <c r="F18" s="33"/>
      <c r="G18" s="33"/>
      <c r="H18" s="33"/>
      <c r="I18" s="33"/>
      <c r="J18" s="33"/>
      <c r="K18" s="33"/>
    </row>
    <row r="19" spans="1:11" x14ac:dyDescent="0.25">
      <c r="A19" s="46" t="s">
        <v>240</v>
      </c>
      <c r="B19" s="33"/>
      <c r="C19" s="33"/>
      <c r="D19" s="33"/>
      <c r="E19" s="33"/>
      <c r="F19" s="33"/>
      <c r="G19" s="33"/>
      <c r="H19" s="33"/>
      <c r="I19" s="33"/>
      <c r="J19" s="33"/>
      <c r="K19" s="33"/>
    </row>
  </sheetData>
  <mergeCells count="2">
    <mergeCell ref="A1:K1"/>
    <mergeCell ref="A12:K12"/>
  </mergeCells>
  <hyperlinks>
    <hyperlink ref="A15" r:id="rId1" xr:uid="{00000000-0004-0000-3400-000000000000}"/>
    <hyperlink ref="A17" location="'Technical specifications'!A1" display="Technical specifications" xr:uid="{00000000-0004-0000-3400-000001000000}"/>
    <hyperlink ref="A19" location="Contents!A1" display="Back to contents" xr:uid="{00000000-0004-0000-3400-000002000000}"/>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37"/>
  <sheetViews>
    <sheetView workbookViewId="0">
      <selection sqref="A1:I1"/>
    </sheetView>
  </sheetViews>
  <sheetFormatPr defaultRowHeight="15" x14ac:dyDescent="0.25"/>
  <cols>
    <col min="1" max="1" width="18" customWidth="1"/>
    <col min="2" max="2" width="17" customWidth="1"/>
    <col min="3" max="9" width="11.140625" customWidth="1"/>
  </cols>
  <sheetData>
    <row r="1" spans="1:9" ht="33.75" customHeight="1" x14ac:dyDescent="0.25">
      <c r="A1" s="74" t="s">
        <v>53</v>
      </c>
      <c r="B1" s="75"/>
      <c r="C1" s="75"/>
      <c r="D1" s="75"/>
      <c r="E1" s="75"/>
      <c r="F1" s="75"/>
      <c r="G1" s="75"/>
      <c r="H1" s="75"/>
      <c r="I1" s="75"/>
    </row>
    <row r="2" spans="1:9" ht="57" x14ac:dyDescent="0.25">
      <c r="A2" s="34" t="s">
        <v>337</v>
      </c>
      <c r="B2" s="34" t="s">
        <v>214</v>
      </c>
      <c r="C2" s="35" t="s">
        <v>217</v>
      </c>
      <c r="D2" s="35" t="s">
        <v>218</v>
      </c>
      <c r="E2" s="35" t="s">
        <v>219</v>
      </c>
      <c r="F2" s="35" t="s">
        <v>220</v>
      </c>
      <c r="G2" s="35" t="s">
        <v>221</v>
      </c>
      <c r="H2" s="35" t="s">
        <v>222</v>
      </c>
      <c r="I2" s="35" t="s">
        <v>223</v>
      </c>
    </row>
    <row r="3" spans="1:9" x14ac:dyDescent="0.25">
      <c r="A3" s="36" t="s">
        <v>338</v>
      </c>
      <c r="B3" s="36" t="s">
        <v>224</v>
      </c>
      <c r="C3" s="37">
        <v>81365</v>
      </c>
      <c r="D3" s="37">
        <v>79558</v>
      </c>
      <c r="E3" s="37">
        <v>73696</v>
      </c>
      <c r="F3" s="37">
        <v>74632</v>
      </c>
      <c r="G3" s="37">
        <v>74315</v>
      </c>
      <c r="H3" s="38">
        <v>-2.2403330490000002</v>
      </c>
      <c r="I3" s="38">
        <v>-0.42475077700000002</v>
      </c>
    </row>
    <row r="4" spans="1:9" x14ac:dyDescent="0.25">
      <c r="A4" s="36" t="s">
        <v>338</v>
      </c>
      <c r="B4" s="36" t="s">
        <v>237</v>
      </c>
      <c r="C4" s="37">
        <v>21567</v>
      </c>
      <c r="D4" s="37">
        <v>22466</v>
      </c>
      <c r="E4" s="37">
        <v>20712</v>
      </c>
      <c r="F4" s="37">
        <v>20090</v>
      </c>
      <c r="G4" s="37">
        <v>19881</v>
      </c>
      <c r="H4" s="38">
        <v>-2.0144303589999999</v>
      </c>
      <c r="I4" s="38">
        <v>-1.0403185660000001</v>
      </c>
    </row>
    <row r="5" spans="1:9" x14ac:dyDescent="0.25">
      <c r="A5" s="39" t="s">
        <v>338</v>
      </c>
      <c r="B5" s="39" t="s">
        <v>238</v>
      </c>
      <c r="C5" s="40">
        <v>102932</v>
      </c>
      <c r="D5" s="40">
        <v>102024</v>
      </c>
      <c r="E5" s="40">
        <v>94408</v>
      </c>
      <c r="F5" s="40">
        <v>94722</v>
      </c>
      <c r="G5" s="40">
        <v>94196</v>
      </c>
      <c r="H5" s="41">
        <v>-2.1928706679999999</v>
      </c>
      <c r="I5" s="41">
        <v>-0.55530922100000002</v>
      </c>
    </row>
    <row r="6" spans="1:9" x14ac:dyDescent="0.25">
      <c r="A6" s="36" t="s">
        <v>339</v>
      </c>
      <c r="B6" s="36" t="s">
        <v>224</v>
      </c>
      <c r="C6" s="37">
        <v>66967</v>
      </c>
      <c r="D6" s="37">
        <v>65691</v>
      </c>
      <c r="E6" s="37">
        <v>62499</v>
      </c>
      <c r="F6" s="37">
        <v>63504</v>
      </c>
      <c r="G6" s="37">
        <v>65142</v>
      </c>
      <c r="H6" s="38">
        <v>-0.68838118299999995</v>
      </c>
      <c r="I6" s="38">
        <v>2.5793650794</v>
      </c>
    </row>
    <row r="7" spans="1:9" x14ac:dyDescent="0.25">
      <c r="A7" s="36" t="s">
        <v>339</v>
      </c>
      <c r="B7" s="36" t="s">
        <v>237</v>
      </c>
      <c r="C7" s="37">
        <v>9392</v>
      </c>
      <c r="D7" s="37">
        <v>10189</v>
      </c>
      <c r="E7" s="37">
        <v>9534</v>
      </c>
      <c r="F7" s="37">
        <v>9191</v>
      </c>
      <c r="G7" s="37">
        <v>8844</v>
      </c>
      <c r="H7" s="38">
        <v>-1.491736706</v>
      </c>
      <c r="I7" s="38">
        <v>-3.7754324879999999</v>
      </c>
    </row>
    <row r="8" spans="1:9" x14ac:dyDescent="0.25">
      <c r="A8" s="39" t="s">
        <v>339</v>
      </c>
      <c r="B8" s="39" t="s">
        <v>238</v>
      </c>
      <c r="C8" s="40">
        <v>76359</v>
      </c>
      <c r="D8" s="40">
        <v>75880</v>
      </c>
      <c r="E8" s="40">
        <v>72033</v>
      </c>
      <c r="F8" s="40">
        <v>72695</v>
      </c>
      <c r="G8" s="40">
        <v>73986</v>
      </c>
      <c r="H8" s="41">
        <v>-0.78614401700000003</v>
      </c>
      <c r="I8" s="41">
        <v>1.7759130614</v>
      </c>
    </row>
    <row r="9" spans="1:9" x14ac:dyDescent="0.25">
      <c r="A9" s="36" t="s">
        <v>340</v>
      </c>
      <c r="B9" s="36" t="s">
        <v>224</v>
      </c>
      <c r="C9" s="37">
        <v>51589</v>
      </c>
      <c r="D9" s="37">
        <v>51837</v>
      </c>
      <c r="E9" s="37">
        <v>49673</v>
      </c>
      <c r="F9" s="37">
        <v>49538</v>
      </c>
      <c r="G9" s="37">
        <v>49081</v>
      </c>
      <c r="H9" s="38">
        <v>-1.2381825740000001</v>
      </c>
      <c r="I9" s="38">
        <v>-0.92252412299999997</v>
      </c>
    </row>
    <row r="10" spans="1:9" x14ac:dyDescent="0.25">
      <c r="A10" s="36" t="s">
        <v>340</v>
      </c>
      <c r="B10" s="36" t="s">
        <v>237</v>
      </c>
      <c r="C10" s="37">
        <v>13759</v>
      </c>
      <c r="D10" s="37">
        <v>14235</v>
      </c>
      <c r="E10" s="37">
        <v>13265</v>
      </c>
      <c r="F10" s="37">
        <v>12865</v>
      </c>
      <c r="G10" s="37">
        <v>12329</v>
      </c>
      <c r="H10" s="38">
        <v>-2.706182182</v>
      </c>
      <c r="I10" s="38">
        <v>-4.1663427909999999</v>
      </c>
    </row>
    <row r="11" spans="1:9" x14ac:dyDescent="0.25">
      <c r="A11" s="39" t="s">
        <v>340</v>
      </c>
      <c r="B11" s="39" t="s">
        <v>238</v>
      </c>
      <c r="C11" s="40">
        <v>65348</v>
      </c>
      <c r="D11" s="40">
        <v>66072</v>
      </c>
      <c r="E11" s="40">
        <v>62938</v>
      </c>
      <c r="F11" s="40">
        <v>62403</v>
      </c>
      <c r="G11" s="40">
        <v>61410</v>
      </c>
      <c r="H11" s="41">
        <v>-1.541843651</v>
      </c>
      <c r="I11" s="41">
        <v>-1.5912696500000001</v>
      </c>
    </row>
    <row r="12" spans="1:9" x14ac:dyDescent="0.25">
      <c r="A12" s="36" t="s">
        <v>341</v>
      </c>
      <c r="B12" s="36" t="s">
        <v>224</v>
      </c>
      <c r="C12" s="37">
        <v>27463</v>
      </c>
      <c r="D12" s="37">
        <v>27526</v>
      </c>
      <c r="E12" s="37">
        <v>25688</v>
      </c>
      <c r="F12" s="37">
        <v>26026</v>
      </c>
      <c r="G12" s="37">
        <v>25915</v>
      </c>
      <c r="H12" s="38">
        <v>-1.439974072</v>
      </c>
      <c r="I12" s="38">
        <v>-0.42649658000000001</v>
      </c>
    </row>
    <row r="13" spans="1:9" x14ac:dyDescent="0.25">
      <c r="A13" s="36" t="s">
        <v>341</v>
      </c>
      <c r="B13" s="36" t="s">
        <v>237</v>
      </c>
      <c r="C13" s="37">
        <v>8263</v>
      </c>
      <c r="D13" s="37">
        <v>8469</v>
      </c>
      <c r="E13" s="37">
        <v>7797</v>
      </c>
      <c r="F13" s="37">
        <v>7386</v>
      </c>
      <c r="G13" s="37">
        <v>7023</v>
      </c>
      <c r="H13" s="38">
        <v>-3.9834208680000001</v>
      </c>
      <c r="I13" s="38">
        <v>-4.9147034930000002</v>
      </c>
    </row>
    <row r="14" spans="1:9" x14ac:dyDescent="0.25">
      <c r="A14" s="39" t="s">
        <v>341</v>
      </c>
      <c r="B14" s="39" t="s">
        <v>238</v>
      </c>
      <c r="C14" s="40">
        <v>35726</v>
      </c>
      <c r="D14" s="40">
        <v>35995</v>
      </c>
      <c r="E14" s="40">
        <v>33485</v>
      </c>
      <c r="F14" s="40">
        <v>33412</v>
      </c>
      <c r="G14" s="40">
        <v>32938</v>
      </c>
      <c r="H14" s="41">
        <v>-2.010800948</v>
      </c>
      <c r="I14" s="41">
        <v>-1.418651981</v>
      </c>
    </row>
    <row r="15" spans="1:9" x14ac:dyDescent="0.25">
      <c r="A15" s="36" t="s">
        <v>342</v>
      </c>
      <c r="B15" s="36" t="s">
        <v>224</v>
      </c>
      <c r="C15" s="37">
        <v>17164</v>
      </c>
      <c r="D15" s="37">
        <v>17137</v>
      </c>
      <c r="E15" s="37">
        <v>16342</v>
      </c>
      <c r="F15" s="37">
        <v>16131</v>
      </c>
      <c r="G15" s="37">
        <v>16159</v>
      </c>
      <c r="H15" s="38">
        <v>-1.4971051879999999</v>
      </c>
      <c r="I15" s="38">
        <v>0.1735788234</v>
      </c>
    </row>
    <row r="16" spans="1:9" x14ac:dyDescent="0.25">
      <c r="A16" s="36" t="s">
        <v>342</v>
      </c>
      <c r="B16" s="36" t="s">
        <v>237</v>
      </c>
      <c r="C16" s="37">
        <v>1922</v>
      </c>
      <c r="D16" s="37">
        <v>2852</v>
      </c>
      <c r="E16" s="37">
        <v>2749</v>
      </c>
      <c r="F16" s="37">
        <v>2978</v>
      </c>
      <c r="G16" s="37">
        <v>3476</v>
      </c>
      <c r="H16" s="38">
        <v>15.966245326999999</v>
      </c>
      <c r="I16" s="38">
        <v>16.722632639</v>
      </c>
    </row>
    <row r="17" spans="1:9" x14ac:dyDescent="0.25">
      <c r="A17" s="39" t="s">
        <v>342</v>
      </c>
      <c r="B17" s="39" t="s">
        <v>238</v>
      </c>
      <c r="C17" s="40">
        <v>19086</v>
      </c>
      <c r="D17" s="40">
        <v>19989</v>
      </c>
      <c r="E17" s="40">
        <v>19091</v>
      </c>
      <c r="F17" s="40">
        <v>19109</v>
      </c>
      <c r="G17" s="40">
        <v>19635</v>
      </c>
      <c r="H17" s="41">
        <v>0.71148425849999997</v>
      </c>
      <c r="I17" s="41">
        <v>2.7526296508999999</v>
      </c>
    </row>
    <row r="18" spans="1:9" x14ac:dyDescent="0.25">
      <c r="A18" s="36" t="s">
        <v>343</v>
      </c>
      <c r="B18" s="36" t="s">
        <v>224</v>
      </c>
      <c r="C18" s="37">
        <v>4824</v>
      </c>
      <c r="D18" s="37">
        <v>4929</v>
      </c>
      <c r="E18" s="37">
        <v>4892</v>
      </c>
      <c r="F18" s="37">
        <v>4827</v>
      </c>
      <c r="G18" s="37">
        <v>4886</v>
      </c>
      <c r="H18" s="38">
        <v>0.31977302190000001</v>
      </c>
      <c r="I18" s="38">
        <v>1.2222912781999999</v>
      </c>
    </row>
    <row r="19" spans="1:9" x14ac:dyDescent="0.25">
      <c r="A19" s="36" t="s">
        <v>343</v>
      </c>
      <c r="B19" s="36" t="s">
        <v>237</v>
      </c>
      <c r="C19" s="65" t="s">
        <v>608</v>
      </c>
      <c r="D19" s="65" t="s">
        <v>608</v>
      </c>
      <c r="E19" s="65" t="s">
        <v>608</v>
      </c>
      <c r="F19" s="65" t="s">
        <v>608</v>
      </c>
      <c r="G19" s="65" t="s">
        <v>608</v>
      </c>
      <c r="H19" s="65" t="s">
        <v>608</v>
      </c>
      <c r="I19" s="65" t="s">
        <v>608</v>
      </c>
    </row>
    <row r="20" spans="1:9" x14ac:dyDescent="0.25">
      <c r="A20" s="36" t="s">
        <v>343</v>
      </c>
      <c r="B20" s="39" t="s">
        <v>238</v>
      </c>
      <c r="C20" s="56" t="s">
        <v>608</v>
      </c>
      <c r="D20" s="56" t="s">
        <v>608</v>
      </c>
      <c r="E20" s="56" t="s">
        <v>608</v>
      </c>
      <c r="F20" s="56" t="s">
        <v>608</v>
      </c>
      <c r="G20" s="56" t="s">
        <v>608</v>
      </c>
      <c r="H20" s="56" t="s">
        <v>608</v>
      </c>
      <c r="I20" s="56" t="s">
        <v>608</v>
      </c>
    </row>
    <row r="21" spans="1:9" x14ac:dyDescent="0.25">
      <c r="A21" s="36" t="s">
        <v>344</v>
      </c>
      <c r="B21" s="36" t="s">
        <v>224</v>
      </c>
      <c r="C21" s="37">
        <v>5675</v>
      </c>
      <c r="D21" s="37">
        <v>5725</v>
      </c>
      <c r="E21" s="37">
        <v>5643</v>
      </c>
      <c r="F21" s="37">
        <v>5560</v>
      </c>
      <c r="G21" s="37">
        <v>5905</v>
      </c>
      <c r="H21" s="38">
        <v>0.99817097899999996</v>
      </c>
      <c r="I21" s="38">
        <v>6.2050359712000001</v>
      </c>
    </row>
    <row r="22" spans="1:9" x14ac:dyDescent="0.25">
      <c r="A22" s="36" t="s">
        <v>344</v>
      </c>
      <c r="B22" s="36" t="s">
        <v>237</v>
      </c>
      <c r="C22" s="65" t="s">
        <v>608</v>
      </c>
      <c r="D22" s="65" t="s">
        <v>608</v>
      </c>
      <c r="E22" s="65" t="s">
        <v>608</v>
      </c>
      <c r="F22" s="65" t="s">
        <v>608</v>
      </c>
      <c r="G22" s="65" t="s">
        <v>447</v>
      </c>
      <c r="H22" s="58" t="s">
        <v>352</v>
      </c>
      <c r="I22" s="58" t="s">
        <v>352</v>
      </c>
    </row>
    <row r="23" spans="1:9" x14ac:dyDescent="0.25">
      <c r="A23" s="36" t="s">
        <v>344</v>
      </c>
      <c r="B23" s="39" t="s">
        <v>238</v>
      </c>
      <c r="C23" s="56" t="s">
        <v>608</v>
      </c>
      <c r="D23" s="56" t="s">
        <v>608</v>
      </c>
      <c r="E23" s="56" t="s">
        <v>608</v>
      </c>
      <c r="F23" s="56" t="s">
        <v>608</v>
      </c>
      <c r="G23" s="56" t="s">
        <v>447</v>
      </c>
      <c r="H23" s="57" t="s">
        <v>352</v>
      </c>
      <c r="I23" s="57" t="s">
        <v>352</v>
      </c>
    </row>
    <row r="24" spans="1:9" x14ac:dyDescent="0.25">
      <c r="A24" s="36" t="s">
        <v>345</v>
      </c>
      <c r="B24" s="36" t="s">
        <v>224</v>
      </c>
      <c r="C24" s="37">
        <v>4166</v>
      </c>
      <c r="D24" s="37">
        <v>3938</v>
      </c>
      <c r="E24" s="37">
        <v>3775</v>
      </c>
      <c r="F24" s="37">
        <v>3499</v>
      </c>
      <c r="G24" s="37">
        <v>3326</v>
      </c>
      <c r="H24" s="38">
        <v>-5.4741165939999998</v>
      </c>
      <c r="I24" s="38">
        <v>-4.944269791</v>
      </c>
    </row>
    <row r="25" spans="1:9" x14ac:dyDescent="0.25">
      <c r="A25" s="36" t="s">
        <v>345</v>
      </c>
      <c r="B25" s="36" t="s">
        <v>237</v>
      </c>
      <c r="C25" s="65" t="s">
        <v>608</v>
      </c>
      <c r="D25" s="65" t="s">
        <v>608</v>
      </c>
      <c r="E25" s="65" t="s">
        <v>608</v>
      </c>
      <c r="F25" s="65" t="s">
        <v>608</v>
      </c>
      <c r="G25" s="65" t="s">
        <v>608</v>
      </c>
      <c r="H25" s="65" t="s">
        <v>608</v>
      </c>
      <c r="I25" s="65" t="s">
        <v>608</v>
      </c>
    </row>
    <row r="26" spans="1:9" x14ac:dyDescent="0.25">
      <c r="A26" s="36" t="s">
        <v>345</v>
      </c>
      <c r="B26" s="39" t="s">
        <v>238</v>
      </c>
      <c r="C26" s="56" t="s">
        <v>608</v>
      </c>
      <c r="D26" s="56" t="s">
        <v>608</v>
      </c>
      <c r="E26" s="56" t="s">
        <v>608</v>
      </c>
      <c r="F26" s="56" t="s">
        <v>608</v>
      </c>
      <c r="G26" s="56" t="s">
        <v>608</v>
      </c>
      <c r="H26" s="56" t="s">
        <v>608</v>
      </c>
      <c r="I26" s="56" t="s">
        <v>608</v>
      </c>
    </row>
    <row r="27" spans="1:9" x14ac:dyDescent="0.25">
      <c r="A27" s="47" t="s">
        <v>235</v>
      </c>
      <c r="B27" s="47" t="s">
        <v>224</v>
      </c>
      <c r="C27" s="48">
        <v>259213</v>
      </c>
      <c r="D27" s="48">
        <v>256341</v>
      </c>
      <c r="E27" s="48">
        <v>242208</v>
      </c>
      <c r="F27" s="48">
        <v>243717</v>
      </c>
      <c r="G27" s="48">
        <v>244729</v>
      </c>
      <c r="H27" s="49">
        <v>-1.427183825</v>
      </c>
      <c r="I27" s="49">
        <v>0.41523570370000001</v>
      </c>
    </row>
    <row r="28" spans="1:9" x14ac:dyDescent="0.25">
      <c r="A28" s="47" t="s">
        <v>235</v>
      </c>
      <c r="B28" s="47" t="s">
        <v>237</v>
      </c>
      <c r="C28" s="48">
        <v>58446</v>
      </c>
      <c r="D28" s="48">
        <v>61975</v>
      </c>
      <c r="E28" s="48">
        <v>57590</v>
      </c>
      <c r="F28" s="48">
        <v>55149</v>
      </c>
      <c r="G28" s="48">
        <v>52708</v>
      </c>
      <c r="H28" s="49">
        <v>-2.5503158400000001</v>
      </c>
      <c r="I28" s="49">
        <v>-4.4261908649999997</v>
      </c>
    </row>
    <row r="29" spans="1:9" x14ac:dyDescent="0.25">
      <c r="A29" s="42" t="s">
        <v>235</v>
      </c>
      <c r="B29" s="42" t="s">
        <v>238</v>
      </c>
      <c r="C29" s="43">
        <v>317659</v>
      </c>
      <c r="D29" s="43">
        <v>318316</v>
      </c>
      <c r="E29" s="43">
        <v>299798</v>
      </c>
      <c r="F29" s="43">
        <v>298866</v>
      </c>
      <c r="G29" s="43">
        <v>297437</v>
      </c>
      <c r="H29" s="44">
        <v>-1.6309545940000001</v>
      </c>
      <c r="I29" s="44">
        <v>-0.478140705</v>
      </c>
    </row>
    <row r="30" spans="1:9" x14ac:dyDescent="0.25">
      <c r="A30" s="76" t="s">
        <v>346</v>
      </c>
      <c r="B30" s="77"/>
      <c r="C30" s="77"/>
      <c r="D30" s="77"/>
      <c r="E30" s="77"/>
      <c r="F30" s="77"/>
      <c r="G30" s="77"/>
      <c r="H30" s="77"/>
      <c r="I30" s="77"/>
    </row>
    <row r="31" spans="1:9" x14ac:dyDescent="0.25">
      <c r="A31" s="45"/>
      <c r="B31" s="33"/>
      <c r="C31" s="33"/>
      <c r="D31" s="33"/>
      <c r="E31" s="33"/>
      <c r="F31" s="33"/>
      <c r="G31" s="33"/>
      <c r="H31" s="33"/>
      <c r="I31" s="33"/>
    </row>
    <row r="32" spans="1:9" x14ac:dyDescent="0.25">
      <c r="A32" s="33" t="s">
        <v>239</v>
      </c>
      <c r="B32" s="33"/>
      <c r="C32" s="33"/>
      <c r="D32" s="33"/>
      <c r="E32" s="33"/>
      <c r="F32" s="33"/>
      <c r="G32" s="33"/>
      <c r="H32" s="33"/>
      <c r="I32" s="33"/>
    </row>
    <row r="33" spans="1:9" x14ac:dyDescent="0.25">
      <c r="A33" s="46" t="s">
        <v>212</v>
      </c>
      <c r="B33" s="33"/>
      <c r="C33" s="33"/>
      <c r="D33" s="33"/>
      <c r="E33" s="33"/>
      <c r="F33" s="33"/>
      <c r="G33" s="33"/>
      <c r="H33" s="33"/>
      <c r="I33" s="33"/>
    </row>
    <row r="34" spans="1:9" x14ac:dyDescent="0.25">
      <c r="A34" s="33"/>
      <c r="B34" s="33"/>
      <c r="C34" s="33"/>
      <c r="D34" s="33"/>
      <c r="E34" s="33"/>
      <c r="F34" s="33"/>
      <c r="G34" s="33"/>
      <c r="H34" s="33"/>
      <c r="I34" s="33"/>
    </row>
    <row r="35" spans="1:9" x14ac:dyDescent="0.25">
      <c r="A35" s="46" t="s">
        <v>70</v>
      </c>
      <c r="B35" s="33"/>
      <c r="C35" s="33"/>
      <c r="D35" s="33"/>
      <c r="E35" s="33"/>
      <c r="F35" s="33"/>
      <c r="G35" s="33"/>
      <c r="H35" s="33"/>
      <c r="I35" s="33"/>
    </row>
    <row r="36" spans="1:9" x14ac:dyDescent="0.25">
      <c r="A36" s="33"/>
      <c r="B36" s="33"/>
      <c r="C36" s="33"/>
      <c r="D36" s="33"/>
      <c r="E36" s="33"/>
      <c r="F36" s="33"/>
      <c r="G36" s="33"/>
      <c r="H36" s="33"/>
      <c r="I36" s="33"/>
    </row>
    <row r="37" spans="1:9" x14ac:dyDescent="0.25">
      <c r="A37" s="46" t="s">
        <v>240</v>
      </c>
      <c r="B37" s="33"/>
      <c r="C37" s="33"/>
      <c r="D37" s="33"/>
      <c r="E37" s="33"/>
      <c r="F37" s="33"/>
      <c r="G37" s="33"/>
      <c r="H37" s="33"/>
      <c r="I37" s="33"/>
    </row>
  </sheetData>
  <mergeCells count="2">
    <mergeCell ref="A1:I1"/>
    <mergeCell ref="A30:I30"/>
  </mergeCells>
  <hyperlinks>
    <hyperlink ref="A33" r:id="rId1" xr:uid="{00000000-0004-0000-3500-000000000000}"/>
    <hyperlink ref="A35" location="'Technical specifications'!A1" display="Technical specifications" xr:uid="{00000000-0004-0000-3500-000001000000}"/>
    <hyperlink ref="A37" location="Contents!A1" display="Back to contents" xr:uid="{00000000-0004-0000-3500-000002000000}"/>
  </hyperlink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K19"/>
  <sheetViews>
    <sheetView workbookViewId="0">
      <selection sqref="A1:K1"/>
    </sheetView>
  </sheetViews>
  <sheetFormatPr defaultRowHeight="15" x14ac:dyDescent="0.25"/>
  <cols>
    <col min="1" max="1" width="17" customWidth="1"/>
    <col min="2" max="2" width="39" customWidth="1"/>
    <col min="3" max="11" width="8.42578125" customWidth="1"/>
  </cols>
  <sheetData>
    <row r="1" spans="1:11" ht="33.75" customHeight="1" x14ac:dyDescent="0.25">
      <c r="A1" s="74" t="s">
        <v>54</v>
      </c>
      <c r="B1" s="75"/>
      <c r="C1" s="75"/>
      <c r="D1" s="75"/>
      <c r="E1" s="75"/>
      <c r="F1" s="75"/>
      <c r="G1" s="75"/>
      <c r="H1" s="75"/>
      <c r="I1" s="75"/>
      <c r="J1" s="75"/>
      <c r="K1" s="75"/>
    </row>
    <row r="2" spans="1:11" x14ac:dyDescent="0.25">
      <c r="A2" s="34" t="s">
        <v>214</v>
      </c>
      <c r="B2" s="34" t="s">
        <v>578</v>
      </c>
      <c r="C2" s="35" t="s">
        <v>338</v>
      </c>
      <c r="D2" s="35" t="s">
        <v>339</v>
      </c>
      <c r="E2" s="35" t="s">
        <v>340</v>
      </c>
      <c r="F2" s="35" t="s">
        <v>341</v>
      </c>
      <c r="G2" s="35" t="s">
        <v>342</v>
      </c>
      <c r="H2" s="35" t="s">
        <v>343</v>
      </c>
      <c r="I2" s="35" t="s">
        <v>344</v>
      </c>
      <c r="J2" s="35" t="s">
        <v>345</v>
      </c>
      <c r="K2" s="35" t="s">
        <v>235</v>
      </c>
    </row>
    <row r="3" spans="1:11" x14ac:dyDescent="0.25">
      <c r="A3" s="36" t="s">
        <v>224</v>
      </c>
      <c r="B3" s="36" t="s">
        <v>579</v>
      </c>
      <c r="C3" s="37">
        <v>18347</v>
      </c>
      <c r="D3" s="37">
        <v>16169</v>
      </c>
      <c r="E3" s="37">
        <v>22440</v>
      </c>
      <c r="F3" s="37">
        <v>6430</v>
      </c>
      <c r="G3" s="37">
        <v>5113</v>
      </c>
      <c r="H3" s="37">
        <v>1099</v>
      </c>
      <c r="I3" s="37">
        <v>1102</v>
      </c>
      <c r="J3" s="37">
        <v>854</v>
      </c>
      <c r="K3" s="37">
        <v>71554</v>
      </c>
    </row>
    <row r="4" spans="1:11" x14ac:dyDescent="0.25">
      <c r="A4" s="36" t="s">
        <v>224</v>
      </c>
      <c r="B4" s="36" t="s">
        <v>580</v>
      </c>
      <c r="C4" s="37">
        <v>55968</v>
      </c>
      <c r="D4" s="37">
        <v>48973</v>
      </c>
      <c r="E4" s="37">
        <v>26641</v>
      </c>
      <c r="F4" s="37">
        <v>19485</v>
      </c>
      <c r="G4" s="37">
        <v>11046</v>
      </c>
      <c r="H4" s="37">
        <v>3787</v>
      </c>
      <c r="I4" s="37">
        <v>4803</v>
      </c>
      <c r="J4" s="37">
        <v>2472</v>
      </c>
      <c r="K4" s="37">
        <v>173175</v>
      </c>
    </row>
    <row r="5" spans="1:11" x14ac:dyDescent="0.25">
      <c r="A5" s="39" t="s">
        <v>224</v>
      </c>
      <c r="B5" s="39" t="s">
        <v>581</v>
      </c>
      <c r="C5" s="40">
        <v>74315</v>
      </c>
      <c r="D5" s="40">
        <v>65142</v>
      </c>
      <c r="E5" s="40">
        <v>49081</v>
      </c>
      <c r="F5" s="40">
        <v>25915</v>
      </c>
      <c r="G5" s="40">
        <v>16159</v>
      </c>
      <c r="H5" s="40">
        <v>4886</v>
      </c>
      <c r="I5" s="40">
        <v>5905</v>
      </c>
      <c r="J5" s="40">
        <v>3326</v>
      </c>
      <c r="K5" s="40">
        <v>244729</v>
      </c>
    </row>
    <row r="6" spans="1:11" x14ac:dyDescent="0.25">
      <c r="A6" s="36" t="s">
        <v>237</v>
      </c>
      <c r="B6" s="36" t="s">
        <v>579</v>
      </c>
      <c r="C6" s="37">
        <v>4226</v>
      </c>
      <c r="D6" s="37">
        <v>2275</v>
      </c>
      <c r="E6" s="37">
        <v>1780</v>
      </c>
      <c r="F6" s="37">
        <v>1257</v>
      </c>
      <c r="G6" s="37">
        <v>466</v>
      </c>
      <c r="H6" s="58" t="s">
        <v>608</v>
      </c>
      <c r="I6" s="38" t="s">
        <v>447</v>
      </c>
      <c r="J6" s="58" t="s">
        <v>608</v>
      </c>
      <c r="K6" s="37">
        <v>10086</v>
      </c>
    </row>
    <row r="7" spans="1:11" x14ac:dyDescent="0.25">
      <c r="A7" s="36" t="s">
        <v>237</v>
      </c>
      <c r="B7" s="36" t="s">
        <v>580</v>
      </c>
      <c r="C7" s="37">
        <v>15655</v>
      </c>
      <c r="D7" s="37">
        <v>6569</v>
      </c>
      <c r="E7" s="37">
        <v>10549</v>
      </c>
      <c r="F7" s="37">
        <v>5766</v>
      </c>
      <c r="G7" s="37">
        <v>3010</v>
      </c>
      <c r="H7" s="58" t="s">
        <v>608</v>
      </c>
      <c r="I7" s="38" t="s">
        <v>447</v>
      </c>
      <c r="J7" s="58" t="s">
        <v>608</v>
      </c>
      <c r="K7" s="37">
        <v>42622</v>
      </c>
    </row>
    <row r="8" spans="1:11" x14ac:dyDescent="0.25">
      <c r="A8" s="39" t="s">
        <v>237</v>
      </c>
      <c r="B8" s="39" t="s">
        <v>581</v>
      </c>
      <c r="C8" s="40">
        <v>19881</v>
      </c>
      <c r="D8" s="40">
        <v>8844</v>
      </c>
      <c r="E8" s="40">
        <v>12329</v>
      </c>
      <c r="F8" s="40">
        <v>7023</v>
      </c>
      <c r="G8" s="40">
        <v>3476</v>
      </c>
      <c r="H8" s="58" t="s">
        <v>608</v>
      </c>
      <c r="I8" s="38" t="s">
        <v>447</v>
      </c>
      <c r="J8" s="58" t="s">
        <v>608</v>
      </c>
      <c r="K8" s="40">
        <v>52708</v>
      </c>
    </row>
    <row r="9" spans="1:11" x14ac:dyDescent="0.25">
      <c r="A9" s="36" t="s">
        <v>238</v>
      </c>
      <c r="B9" s="36" t="s">
        <v>579</v>
      </c>
      <c r="C9" s="37">
        <v>22573</v>
      </c>
      <c r="D9" s="37">
        <v>18444</v>
      </c>
      <c r="E9" s="37">
        <v>24220</v>
      </c>
      <c r="F9" s="37">
        <v>7687</v>
      </c>
      <c r="G9" s="37">
        <v>5579</v>
      </c>
      <c r="H9" s="58" t="s">
        <v>608</v>
      </c>
      <c r="I9" s="38" t="s">
        <v>447</v>
      </c>
      <c r="J9" s="58" t="s">
        <v>608</v>
      </c>
      <c r="K9" s="37">
        <v>81640</v>
      </c>
    </row>
    <row r="10" spans="1:11" x14ac:dyDescent="0.25">
      <c r="A10" s="36" t="s">
        <v>238</v>
      </c>
      <c r="B10" s="36" t="s">
        <v>580</v>
      </c>
      <c r="C10" s="37">
        <v>71623</v>
      </c>
      <c r="D10" s="37">
        <v>55542</v>
      </c>
      <c r="E10" s="37">
        <v>37190</v>
      </c>
      <c r="F10" s="37">
        <v>25251</v>
      </c>
      <c r="G10" s="37">
        <v>14056</v>
      </c>
      <c r="H10" s="58" t="s">
        <v>608</v>
      </c>
      <c r="I10" s="38" t="s">
        <v>447</v>
      </c>
      <c r="J10" s="58" t="s">
        <v>608</v>
      </c>
      <c r="K10" s="37">
        <v>215797</v>
      </c>
    </row>
    <row r="11" spans="1:11" ht="15.75" thickBot="1" x14ac:dyDescent="0.3">
      <c r="A11" s="50" t="s">
        <v>238</v>
      </c>
      <c r="B11" s="50" t="s">
        <v>581</v>
      </c>
      <c r="C11" s="55">
        <v>94196</v>
      </c>
      <c r="D11" s="55">
        <v>73986</v>
      </c>
      <c r="E11" s="55">
        <v>61410</v>
      </c>
      <c r="F11" s="55">
        <v>32938</v>
      </c>
      <c r="G11" s="55">
        <v>19635</v>
      </c>
      <c r="H11" s="71" t="s">
        <v>608</v>
      </c>
      <c r="I11" s="71" t="s">
        <v>447</v>
      </c>
      <c r="J11" s="71" t="s">
        <v>608</v>
      </c>
      <c r="K11" s="55">
        <v>297437</v>
      </c>
    </row>
    <row r="12" spans="1:11" x14ac:dyDescent="0.25">
      <c r="A12" s="76" t="s">
        <v>346</v>
      </c>
      <c r="B12" s="77"/>
      <c r="C12" s="77"/>
      <c r="D12" s="77"/>
      <c r="E12" s="77"/>
      <c r="F12" s="77"/>
      <c r="G12" s="77"/>
      <c r="H12" s="77"/>
      <c r="I12" s="77"/>
      <c r="J12" s="77"/>
      <c r="K12" s="77"/>
    </row>
    <row r="13" spans="1:11" x14ac:dyDescent="0.25">
      <c r="A13" s="45"/>
      <c r="B13" s="33"/>
      <c r="C13" s="33"/>
      <c r="D13" s="33"/>
      <c r="E13" s="33"/>
      <c r="F13" s="33"/>
      <c r="G13" s="33"/>
      <c r="H13" s="33"/>
      <c r="I13" s="33"/>
      <c r="J13" s="33"/>
      <c r="K13" s="33"/>
    </row>
    <row r="14" spans="1:11" x14ac:dyDescent="0.25">
      <c r="A14" s="33" t="s">
        <v>239</v>
      </c>
      <c r="B14" s="33"/>
      <c r="C14" s="33"/>
      <c r="D14" s="33"/>
      <c r="E14" s="33"/>
      <c r="F14" s="33"/>
      <c r="G14" s="33"/>
      <c r="H14" s="33"/>
      <c r="I14" s="33"/>
      <c r="J14" s="33"/>
      <c r="K14" s="33"/>
    </row>
    <row r="15" spans="1:11" x14ac:dyDescent="0.25">
      <c r="A15" s="46" t="s">
        <v>212</v>
      </c>
      <c r="B15" s="33"/>
      <c r="C15" s="33"/>
      <c r="D15" s="33"/>
      <c r="E15" s="33"/>
      <c r="F15" s="33"/>
      <c r="G15" s="33"/>
      <c r="H15" s="33"/>
      <c r="I15" s="33"/>
      <c r="J15" s="33"/>
      <c r="K15" s="33"/>
    </row>
    <row r="16" spans="1:11" x14ac:dyDescent="0.25">
      <c r="A16" s="33"/>
      <c r="B16" s="33"/>
      <c r="C16" s="33"/>
      <c r="D16" s="33"/>
      <c r="E16" s="33"/>
      <c r="F16" s="33"/>
      <c r="G16" s="33"/>
      <c r="H16" s="33"/>
      <c r="I16" s="33"/>
      <c r="J16" s="33"/>
      <c r="K16" s="33"/>
    </row>
    <row r="17" spans="1:11" x14ac:dyDescent="0.25">
      <c r="A17" s="46" t="s">
        <v>70</v>
      </c>
      <c r="B17" s="33"/>
      <c r="C17" s="33"/>
      <c r="D17" s="33"/>
      <c r="E17" s="33"/>
      <c r="F17" s="33"/>
      <c r="G17" s="33"/>
      <c r="H17" s="33"/>
      <c r="I17" s="33"/>
      <c r="J17" s="33"/>
      <c r="K17" s="33"/>
    </row>
    <row r="18" spans="1:11" x14ac:dyDescent="0.25">
      <c r="A18" s="33"/>
      <c r="B18" s="33"/>
      <c r="C18" s="33"/>
      <c r="D18" s="33"/>
      <c r="E18" s="33"/>
      <c r="F18" s="33"/>
      <c r="G18" s="33"/>
      <c r="H18" s="33"/>
      <c r="I18" s="33"/>
      <c r="J18" s="33"/>
      <c r="K18" s="33"/>
    </row>
    <row r="19" spans="1:11" x14ac:dyDescent="0.25">
      <c r="A19" s="46" t="s">
        <v>240</v>
      </c>
      <c r="B19" s="33"/>
      <c r="C19" s="33"/>
      <c r="D19" s="33"/>
      <c r="E19" s="33"/>
      <c r="F19" s="33"/>
      <c r="G19" s="33"/>
      <c r="H19" s="33"/>
      <c r="I19" s="33"/>
      <c r="J19" s="33"/>
      <c r="K19" s="33"/>
    </row>
  </sheetData>
  <mergeCells count="2">
    <mergeCell ref="A1:K1"/>
    <mergeCell ref="A12:K12"/>
  </mergeCells>
  <hyperlinks>
    <hyperlink ref="A15" r:id="rId1" xr:uid="{00000000-0004-0000-3600-000000000000}"/>
    <hyperlink ref="A17" location="'Technical specifications'!A1" display="Technical specifications" xr:uid="{00000000-0004-0000-3600-000001000000}"/>
    <hyperlink ref="A19" location="Contents!A1" display="Back to contents" xr:uid="{00000000-0004-0000-3600-000002000000}"/>
  </hyperlink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16"/>
  <sheetViews>
    <sheetView workbookViewId="0">
      <selection sqref="A1:H1"/>
    </sheetView>
  </sheetViews>
  <sheetFormatPr defaultRowHeight="15" x14ac:dyDescent="0.25"/>
  <cols>
    <col min="1" max="1" width="17" customWidth="1"/>
    <col min="2" max="2" width="32" customWidth="1"/>
    <col min="3" max="8" width="16.5703125" customWidth="1"/>
  </cols>
  <sheetData>
    <row r="1" spans="1:8" ht="33.75" customHeight="1" x14ac:dyDescent="0.25">
      <c r="A1" s="74" t="s">
        <v>55</v>
      </c>
      <c r="B1" s="75"/>
      <c r="C1" s="75"/>
      <c r="D1" s="75"/>
      <c r="E1" s="75"/>
      <c r="F1" s="75"/>
      <c r="G1" s="75"/>
      <c r="H1" s="75"/>
    </row>
    <row r="2" spans="1:8" x14ac:dyDescent="0.25">
      <c r="A2" s="34" t="s">
        <v>214</v>
      </c>
      <c r="B2" s="34" t="s">
        <v>242</v>
      </c>
      <c r="C2" s="35" t="s">
        <v>441</v>
      </c>
      <c r="D2" s="35" t="s">
        <v>442</v>
      </c>
      <c r="E2" s="35" t="s">
        <v>443</v>
      </c>
      <c r="F2" s="35" t="s">
        <v>444</v>
      </c>
      <c r="G2" s="35" t="s">
        <v>445</v>
      </c>
      <c r="H2" s="35" t="s">
        <v>235</v>
      </c>
    </row>
    <row r="3" spans="1:8" x14ac:dyDescent="0.25">
      <c r="A3" s="36" t="s">
        <v>224</v>
      </c>
      <c r="B3" s="36" t="s">
        <v>349</v>
      </c>
      <c r="C3" s="37">
        <v>167585</v>
      </c>
      <c r="D3" s="37">
        <v>45486</v>
      </c>
      <c r="E3" s="37">
        <v>21265</v>
      </c>
      <c r="F3" s="37">
        <v>3746</v>
      </c>
      <c r="G3" s="37">
        <v>2603</v>
      </c>
      <c r="H3" s="37">
        <v>244729</v>
      </c>
    </row>
    <row r="4" spans="1:8" x14ac:dyDescent="0.25">
      <c r="A4" s="36" t="s">
        <v>224</v>
      </c>
      <c r="B4" s="36" t="s">
        <v>353</v>
      </c>
      <c r="C4" s="38">
        <v>10.001163910000001</v>
      </c>
      <c r="D4" s="38">
        <v>11.884115329</v>
      </c>
      <c r="E4" s="38">
        <v>12.133695989</v>
      </c>
      <c r="F4" s="38">
        <v>12.443176492999999</v>
      </c>
      <c r="G4" s="38">
        <v>13.209129151000001</v>
      </c>
      <c r="H4" s="38">
        <v>10.715441573</v>
      </c>
    </row>
    <row r="5" spans="1:8" x14ac:dyDescent="0.25">
      <c r="A5" s="36" t="s">
        <v>224</v>
      </c>
      <c r="B5" s="36" t="s">
        <v>446</v>
      </c>
      <c r="C5" s="38">
        <f>C4/$H4</f>
        <v>0.93334127593959504</v>
      </c>
      <c r="D5" s="38">
        <f t="shared" ref="D5:G5" si="0">D4/$H4</f>
        <v>1.1090644513376602</v>
      </c>
      <c r="E5" s="38">
        <f t="shared" si="0"/>
        <v>1.1323561335608991</v>
      </c>
      <c r="F5" s="38">
        <f t="shared" si="0"/>
        <v>1.1612378648354933</v>
      </c>
      <c r="G5" s="38">
        <f t="shared" si="0"/>
        <v>1.2327190681794595</v>
      </c>
      <c r="H5" s="37" t="s">
        <v>352</v>
      </c>
    </row>
    <row r="6" spans="1:8" x14ac:dyDescent="0.25">
      <c r="A6" s="36" t="s">
        <v>237</v>
      </c>
      <c r="B6" s="36" t="s">
        <v>349</v>
      </c>
      <c r="C6" s="37">
        <v>44854</v>
      </c>
      <c r="D6" s="37">
        <v>5371</v>
      </c>
      <c r="E6" s="37">
        <v>1921</v>
      </c>
      <c r="F6" s="37">
        <v>267</v>
      </c>
      <c r="G6" s="37">
        <v>193</v>
      </c>
      <c r="H6" s="37">
        <v>52708</v>
      </c>
    </row>
    <row r="7" spans="1:8" x14ac:dyDescent="0.25">
      <c r="A7" s="36" t="s">
        <v>237</v>
      </c>
      <c r="B7" s="36" t="s">
        <v>353</v>
      </c>
      <c r="C7" s="38">
        <v>2.6768359919</v>
      </c>
      <c r="D7" s="38">
        <v>1.4030631468999999</v>
      </c>
      <c r="E7" s="38">
        <v>1.0961084076000001</v>
      </c>
      <c r="F7" s="38">
        <v>0.88690019320000002</v>
      </c>
      <c r="G7" s="38">
        <v>0.97939374800000001</v>
      </c>
      <c r="H7" s="38">
        <v>2.3082316758000001</v>
      </c>
    </row>
    <row r="8" spans="1:8" ht="15.75" thickBot="1" x14ac:dyDescent="0.3">
      <c r="A8" s="52" t="s">
        <v>237</v>
      </c>
      <c r="B8" s="52" t="s">
        <v>446</v>
      </c>
      <c r="C8" s="60">
        <f>C7/$H7</f>
        <v>1.1596912129594821</v>
      </c>
      <c r="D8" s="60">
        <f t="shared" ref="D8:G8" si="1">D7/$H7</f>
        <v>0.60785195940685555</v>
      </c>
      <c r="E8" s="60">
        <f t="shared" si="1"/>
        <v>0.47486932056770453</v>
      </c>
      <c r="F8" s="60">
        <f t="shared" si="1"/>
        <v>0.38423361159906666</v>
      </c>
      <c r="G8" s="60">
        <f t="shared" si="1"/>
        <v>0.42430478632980206</v>
      </c>
      <c r="H8" s="53" t="s">
        <v>352</v>
      </c>
    </row>
    <row r="9" spans="1:8" x14ac:dyDescent="0.25">
      <c r="A9" s="76" t="s">
        <v>582</v>
      </c>
      <c r="B9" s="77"/>
      <c r="C9" s="77"/>
      <c r="D9" s="77"/>
      <c r="E9" s="77"/>
      <c r="F9" s="77"/>
      <c r="G9" s="77"/>
      <c r="H9" s="77"/>
    </row>
    <row r="10" spans="1:8" x14ac:dyDescent="0.25">
      <c r="A10" s="45"/>
      <c r="B10" s="33"/>
      <c r="C10" s="33"/>
      <c r="D10" s="33"/>
      <c r="E10" s="33"/>
      <c r="F10" s="33"/>
      <c r="G10" s="33"/>
      <c r="H10" s="33"/>
    </row>
    <row r="11" spans="1:8" x14ac:dyDescent="0.25">
      <c r="A11" s="33" t="s">
        <v>239</v>
      </c>
      <c r="B11" s="33"/>
      <c r="C11" s="33"/>
      <c r="D11" s="33"/>
      <c r="E11" s="33"/>
      <c r="F11" s="33"/>
      <c r="G11" s="33"/>
      <c r="H11" s="33"/>
    </row>
    <row r="12" spans="1:8" x14ac:dyDescent="0.25">
      <c r="A12" s="46" t="s">
        <v>212</v>
      </c>
      <c r="B12" s="33"/>
      <c r="C12" s="33"/>
      <c r="D12" s="33"/>
      <c r="E12" s="33"/>
      <c r="F12" s="33"/>
      <c r="G12" s="33"/>
      <c r="H12" s="33"/>
    </row>
    <row r="13" spans="1:8" x14ac:dyDescent="0.25">
      <c r="A13" s="33"/>
      <c r="B13" s="33"/>
      <c r="C13" s="33"/>
      <c r="D13" s="33"/>
      <c r="E13" s="33"/>
      <c r="F13" s="33"/>
      <c r="G13" s="33"/>
      <c r="H13" s="33"/>
    </row>
    <row r="14" spans="1:8" x14ac:dyDescent="0.25">
      <c r="A14" s="46" t="s">
        <v>70</v>
      </c>
      <c r="B14" s="33"/>
      <c r="C14" s="33"/>
      <c r="D14" s="33"/>
      <c r="E14" s="33"/>
      <c r="F14" s="33"/>
      <c r="G14" s="33"/>
      <c r="H14" s="33"/>
    </row>
    <row r="15" spans="1:8" x14ac:dyDescent="0.25">
      <c r="A15" s="33"/>
      <c r="B15" s="33"/>
      <c r="C15" s="33"/>
      <c r="D15" s="33"/>
      <c r="E15" s="33"/>
      <c r="F15" s="33"/>
      <c r="G15" s="33"/>
      <c r="H15" s="33"/>
    </row>
    <row r="16" spans="1:8" x14ac:dyDescent="0.25">
      <c r="A16" s="46" t="s">
        <v>240</v>
      </c>
      <c r="B16" s="33"/>
      <c r="C16" s="33"/>
      <c r="D16" s="33"/>
      <c r="E16" s="33"/>
      <c r="F16" s="33"/>
      <c r="G16" s="33"/>
      <c r="H16" s="33"/>
    </row>
  </sheetData>
  <mergeCells count="2">
    <mergeCell ref="A9:H9"/>
    <mergeCell ref="A1:H1"/>
  </mergeCells>
  <hyperlinks>
    <hyperlink ref="A12" r:id="rId1" xr:uid="{00000000-0004-0000-3700-000000000000}"/>
    <hyperlink ref="A14" location="'Technical specifications'!A1" display="Technical specifications" xr:uid="{00000000-0004-0000-3700-000001000000}"/>
    <hyperlink ref="A16" location="Contents!A1" display="Back to contents" xr:uid="{00000000-0004-0000-3700-000002000000}"/>
  </hyperlink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6"/>
  <sheetViews>
    <sheetView workbookViewId="0">
      <selection sqref="A1:H1"/>
    </sheetView>
  </sheetViews>
  <sheetFormatPr defaultRowHeight="15" x14ac:dyDescent="0.25"/>
  <cols>
    <col min="1" max="1" width="17" customWidth="1"/>
    <col min="2" max="2" width="32" customWidth="1"/>
    <col min="3" max="3" width="10" customWidth="1"/>
    <col min="4" max="6" width="8.42578125" customWidth="1"/>
    <col min="7" max="7" width="10" customWidth="1"/>
    <col min="8" max="8" width="8.42578125" customWidth="1"/>
  </cols>
  <sheetData>
    <row r="1" spans="1:8" ht="33.75" customHeight="1" x14ac:dyDescent="0.25">
      <c r="A1" s="74" t="s">
        <v>56</v>
      </c>
      <c r="B1" s="75"/>
      <c r="C1" s="75"/>
      <c r="D1" s="75"/>
      <c r="E1" s="75"/>
      <c r="F1" s="75"/>
      <c r="G1" s="75"/>
      <c r="H1" s="75"/>
    </row>
    <row r="2" spans="1:8" x14ac:dyDescent="0.25">
      <c r="A2" s="34" t="s">
        <v>214</v>
      </c>
      <c r="B2" s="34" t="s">
        <v>242</v>
      </c>
      <c r="C2" s="35" t="s">
        <v>583</v>
      </c>
      <c r="D2" s="35" t="s">
        <v>584</v>
      </c>
      <c r="E2" s="35" t="s">
        <v>585</v>
      </c>
      <c r="F2" s="35" t="s">
        <v>586</v>
      </c>
      <c r="G2" s="35" t="s">
        <v>587</v>
      </c>
      <c r="H2" s="35" t="s">
        <v>235</v>
      </c>
    </row>
    <row r="3" spans="1:8" x14ac:dyDescent="0.25">
      <c r="A3" s="36" t="s">
        <v>224</v>
      </c>
      <c r="B3" s="36" t="s">
        <v>349</v>
      </c>
      <c r="C3" s="37">
        <v>58309</v>
      </c>
      <c r="D3" s="37">
        <v>52500</v>
      </c>
      <c r="E3" s="37">
        <v>55119</v>
      </c>
      <c r="F3" s="37">
        <v>45583</v>
      </c>
      <c r="G3" s="37">
        <v>29102</v>
      </c>
      <c r="H3" s="37">
        <v>244729</v>
      </c>
    </row>
    <row r="4" spans="1:8" x14ac:dyDescent="0.25">
      <c r="A4" s="36" t="s">
        <v>224</v>
      </c>
      <c r="B4" s="36" t="s">
        <v>353</v>
      </c>
      <c r="C4" s="38">
        <v>12.761009737</v>
      </c>
      <c r="D4" s="38">
        <v>11.895512858</v>
      </c>
      <c r="E4" s="38">
        <v>10.972404629</v>
      </c>
      <c r="F4" s="38">
        <v>9.3110669770999994</v>
      </c>
      <c r="G4" s="38">
        <v>7.3978890627</v>
      </c>
      <c r="H4" s="38">
        <v>10.715043827000001</v>
      </c>
    </row>
    <row r="5" spans="1:8" x14ac:dyDescent="0.25">
      <c r="A5" s="36" t="s">
        <v>224</v>
      </c>
      <c r="B5" s="36" t="s">
        <v>446</v>
      </c>
      <c r="C5" s="38">
        <f>C4/$H4</f>
        <v>1.1909433076554041</v>
      </c>
      <c r="D5" s="38">
        <f t="shared" ref="D5:G5" si="0">D4/$H4</f>
        <v>1.1101693142892639</v>
      </c>
      <c r="E5" s="38">
        <f t="shared" si="0"/>
        <v>1.0240186420284625</v>
      </c>
      <c r="F5" s="38">
        <f t="shared" si="0"/>
        <v>0.8689714318888524</v>
      </c>
      <c r="G5" s="38">
        <f t="shared" si="0"/>
        <v>0.69042079361902731</v>
      </c>
      <c r="H5" s="37" t="s">
        <v>352</v>
      </c>
    </row>
    <row r="6" spans="1:8" x14ac:dyDescent="0.25">
      <c r="A6" s="36" t="s">
        <v>237</v>
      </c>
      <c r="B6" s="36" t="s">
        <v>349</v>
      </c>
      <c r="C6" s="37">
        <v>4848</v>
      </c>
      <c r="D6" s="37">
        <v>6971</v>
      </c>
      <c r="E6" s="37">
        <v>11194</v>
      </c>
      <c r="F6" s="37">
        <v>14073</v>
      </c>
      <c r="G6" s="37">
        <v>15520</v>
      </c>
      <c r="H6" s="37">
        <v>52708</v>
      </c>
    </row>
    <row r="7" spans="1:8" x14ac:dyDescent="0.25">
      <c r="A7" s="36" t="s">
        <v>237</v>
      </c>
      <c r="B7" s="36" t="s">
        <v>353</v>
      </c>
      <c r="C7" s="38">
        <v>1.0609931242999999</v>
      </c>
      <c r="D7" s="38">
        <v>1.5795276126</v>
      </c>
      <c r="E7" s="38">
        <v>2.2282035815999999</v>
      </c>
      <c r="F7" s="38">
        <v>2.8746554407999998</v>
      </c>
      <c r="G7" s="38">
        <v>3.9454052525000001</v>
      </c>
      <c r="H7" s="38">
        <v>2.3081459816000001</v>
      </c>
    </row>
    <row r="8" spans="1:8" ht="15.75" thickBot="1" x14ac:dyDescent="0.3">
      <c r="A8" s="52" t="s">
        <v>237</v>
      </c>
      <c r="B8" s="52" t="s">
        <v>446</v>
      </c>
      <c r="C8" s="60">
        <f>C7/$H7</f>
        <v>0.45967331908726267</v>
      </c>
      <c r="D8" s="60">
        <f t="shared" ref="D8:G8" si="1">D7/$H7</f>
        <v>0.68432743214321134</v>
      </c>
      <c r="E8" s="60">
        <f t="shared" si="1"/>
        <v>0.96536510227806982</v>
      </c>
      <c r="F8" s="60">
        <f t="shared" si="1"/>
        <v>1.2454391809339966</v>
      </c>
      <c r="G8" s="60">
        <f t="shared" si="1"/>
        <v>1.7093395668869509</v>
      </c>
      <c r="H8" s="53" t="s">
        <v>352</v>
      </c>
    </row>
    <row r="9" spans="1:8" x14ac:dyDescent="0.25">
      <c r="A9" s="76" t="s">
        <v>588</v>
      </c>
      <c r="B9" s="77"/>
      <c r="C9" s="77"/>
      <c r="D9" s="77"/>
      <c r="E9" s="77"/>
      <c r="F9" s="77"/>
      <c r="G9" s="77"/>
      <c r="H9" s="77"/>
    </row>
    <row r="10" spans="1:8" x14ac:dyDescent="0.25">
      <c r="A10" s="45"/>
      <c r="B10" s="33"/>
      <c r="C10" s="33"/>
      <c r="D10" s="33"/>
      <c r="E10" s="33"/>
      <c r="F10" s="33"/>
      <c r="G10" s="33"/>
      <c r="H10" s="33"/>
    </row>
    <row r="11" spans="1:8" x14ac:dyDescent="0.25">
      <c r="A11" s="33" t="s">
        <v>239</v>
      </c>
      <c r="B11" s="33"/>
      <c r="C11" s="33"/>
      <c r="D11" s="33"/>
      <c r="E11" s="33"/>
      <c r="F11" s="33"/>
      <c r="G11" s="33"/>
      <c r="H11" s="33"/>
    </row>
    <row r="12" spans="1:8" x14ac:dyDescent="0.25">
      <c r="A12" s="46" t="s">
        <v>212</v>
      </c>
      <c r="B12" s="33"/>
      <c r="C12" s="33"/>
      <c r="D12" s="33"/>
      <c r="E12" s="33"/>
      <c r="F12" s="33"/>
      <c r="G12" s="33"/>
      <c r="H12" s="33"/>
    </row>
    <row r="13" spans="1:8" x14ac:dyDescent="0.25">
      <c r="A13" s="33"/>
      <c r="B13" s="33"/>
      <c r="C13" s="33"/>
      <c r="D13" s="33"/>
      <c r="E13" s="33"/>
      <c r="F13" s="33"/>
      <c r="G13" s="33"/>
      <c r="H13" s="33"/>
    </row>
    <row r="14" spans="1:8" x14ac:dyDescent="0.25">
      <c r="A14" s="46" t="s">
        <v>70</v>
      </c>
      <c r="B14" s="33"/>
      <c r="C14" s="33"/>
      <c r="D14" s="33"/>
      <c r="E14" s="33"/>
      <c r="F14" s="33"/>
      <c r="G14" s="33"/>
      <c r="H14" s="33"/>
    </row>
    <row r="15" spans="1:8" x14ac:dyDescent="0.25">
      <c r="A15" s="33"/>
      <c r="B15" s="33"/>
      <c r="C15" s="33"/>
      <c r="D15" s="33"/>
      <c r="E15" s="33"/>
      <c r="F15" s="33"/>
      <c r="G15" s="33"/>
      <c r="H15" s="33"/>
    </row>
    <row r="16" spans="1:8" x14ac:dyDescent="0.25">
      <c r="A16" s="46" t="s">
        <v>240</v>
      </c>
      <c r="B16" s="33"/>
      <c r="C16" s="33"/>
      <c r="D16" s="33"/>
      <c r="E16" s="33"/>
      <c r="F16" s="33"/>
      <c r="G16" s="33"/>
      <c r="H16" s="33"/>
    </row>
  </sheetData>
  <mergeCells count="2">
    <mergeCell ref="A9:H9"/>
    <mergeCell ref="A1:H1"/>
  </mergeCells>
  <hyperlinks>
    <hyperlink ref="A12" r:id="rId1" xr:uid="{00000000-0004-0000-3800-000000000000}"/>
    <hyperlink ref="A14" location="'Technical specifications'!A1" display="Technical specifications" xr:uid="{00000000-0004-0000-3800-000001000000}"/>
    <hyperlink ref="A16" location="Contents!A1" display="Back to contents" xr:uid="{00000000-0004-0000-3800-000002000000}"/>
  </hyperlinks>
  <pageMargins left="0.75" right="0.75" top="1" bottom="1" header="0.5" footer="0.5"/>
  <ignoredErrors>
    <ignoredError sqref="D2:F2" numberStoredAsText="1"/>
  </ignoredError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6"/>
  <sheetViews>
    <sheetView workbookViewId="0">
      <selection sqref="A1:H1"/>
    </sheetView>
  </sheetViews>
  <sheetFormatPr defaultRowHeight="15" x14ac:dyDescent="0.25"/>
  <cols>
    <col min="1" max="1" width="17" customWidth="1"/>
    <col min="2" max="2" width="32" customWidth="1"/>
    <col min="3" max="3" width="10" customWidth="1"/>
    <col min="4" max="6" width="8.42578125" customWidth="1"/>
    <col min="7" max="7" width="10" customWidth="1"/>
    <col min="8" max="8" width="8.42578125" customWidth="1"/>
  </cols>
  <sheetData>
    <row r="1" spans="1:8" ht="33.75" customHeight="1" x14ac:dyDescent="0.25">
      <c r="A1" s="74" t="s">
        <v>57</v>
      </c>
      <c r="B1" s="75"/>
      <c r="C1" s="75"/>
      <c r="D1" s="75"/>
      <c r="E1" s="75"/>
      <c r="F1" s="75"/>
      <c r="G1" s="75"/>
      <c r="H1" s="75"/>
    </row>
    <row r="2" spans="1:8" x14ac:dyDescent="0.25">
      <c r="A2" s="34" t="s">
        <v>214</v>
      </c>
      <c r="B2" s="34" t="s">
        <v>242</v>
      </c>
      <c r="C2" s="35" t="s">
        <v>583</v>
      </c>
      <c r="D2" s="35" t="s">
        <v>584</v>
      </c>
      <c r="E2" s="35" t="s">
        <v>585</v>
      </c>
      <c r="F2" s="35" t="s">
        <v>586</v>
      </c>
      <c r="G2" s="35" t="s">
        <v>587</v>
      </c>
      <c r="H2" s="35" t="s">
        <v>235</v>
      </c>
    </row>
    <row r="3" spans="1:8" x14ac:dyDescent="0.25">
      <c r="A3" s="36" t="s">
        <v>224</v>
      </c>
      <c r="B3" s="36" t="s">
        <v>349</v>
      </c>
      <c r="C3" s="37">
        <v>17858</v>
      </c>
      <c r="D3" s="37">
        <v>18789</v>
      </c>
      <c r="E3" s="37">
        <v>22329</v>
      </c>
      <c r="F3" s="37">
        <v>15941</v>
      </c>
      <c r="G3" s="37">
        <v>13903</v>
      </c>
      <c r="H3" s="37">
        <v>89930</v>
      </c>
    </row>
    <row r="4" spans="1:8" x14ac:dyDescent="0.25">
      <c r="A4" s="36" t="s">
        <v>224</v>
      </c>
      <c r="B4" s="36" t="s">
        <v>353</v>
      </c>
      <c r="C4" s="38">
        <v>2.7720984021000001</v>
      </c>
      <c r="D4" s="38">
        <v>2.6978371842</v>
      </c>
      <c r="E4" s="38">
        <v>3.0539181477000001</v>
      </c>
      <c r="F4" s="38">
        <v>2.4187263838000002</v>
      </c>
      <c r="G4" s="38">
        <v>2.045434915</v>
      </c>
      <c r="H4" s="38">
        <v>2.6326217090999999</v>
      </c>
    </row>
    <row r="5" spans="1:8" x14ac:dyDescent="0.25">
      <c r="A5" s="36" t="s">
        <v>224</v>
      </c>
      <c r="B5" s="36" t="s">
        <v>446</v>
      </c>
      <c r="C5" s="38">
        <f>C4/$H4</f>
        <v>1.0529801499842841</v>
      </c>
      <c r="D5" s="38">
        <f t="shared" ref="D5:G5" si="0">D4/$H4</f>
        <v>1.0247720646208205</v>
      </c>
      <c r="E5" s="38">
        <f t="shared" si="0"/>
        <v>1.1600292351702997</v>
      </c>
      <c r="F5" s="38">
        <f t="shared" si="0"/>
        <v>0.91875197087350502</v>
      </c>
      <c r="G5" s="38">
        <f t="shared" si="0"/>
        <v>0.77695739875185554</v>
      </c>
      <c r="H5" s="37" t="s">
        <v>352</v>
      </c>
    </row>
    <row r="6" spans="1:8" x14ac:dyDescent="0.25">
      <c r="A6" s="36" t="s">
        <v>237</v>
      </c>
      <c r="B6" s="36" t="s">
        <v>349</v>
      </c>
      <c r="C6" s="37">
        <v>45654</v>
      </c>
      <c r="D6" s="37">
        <v>66026</v>
      </c>
      <c r="E6" s="37">
        <v>73734</v>
      </c>
      <c r="F6" s="37">
        <v>83753</v>
      </c>
      <c r="G6" s="37">
        <v>135133</v>
      </c>
      <c r="H6" s="37">
        <v>406451</v>
      </c>
    </row>
    <row r="7" spans="1:8" x14ac:dyDescent="0.25">
      <c r="A7" s="36" t="s">
        <v>237</v>
      </c>
      <c r="B7" s="36" t="s">
        <v>353</v>
      </c>
      <c r="C7" s="38">
        <v>6.7320589169999998</v>
      </c>
      <c r="D7" s="38">
        <v>9.0699425234</v>
      </c>
      <c r="E7" s="38">
        <v>9.6950829543000001</v>
      </c>
      <c r="F7" s="38">
        <v>12.447538245000001</v>
      </c>
      <c r="G7" s="38">
        <v>19.676749260000001</v>
      </c>
      <c r="H7" s="38">
        <v>11.502671346</v>
      </c>
    </row>
    <row r="8" spans="1:8" ht="15.75" thickBot="1" x14ac:dyDescent="0.3">
      <c r="A8" s="52" t="s">
        <v>237</v>
      </c>
      <c r="B8" s="52" t="s">
        <v>446</v>
      </c>
      <c r="C8" s="60">
        <f>C7/$H7</f>
        <v>0.58526047684923577</v>
      </c>
      <c r="D8" s="60">
        <f t="shared" ref="D8:G8" si="1">D7/$H7</f>
        <v>0.78850749104937523</v>
      </c>
      <c r="E8" s="60">
        <f t="shared" si="1"/>
        <v>0.84285490410637698</v>
      </c>
      <c r="F8" s="60">
        <f t="shared" si="1"/>
        <v>1.0821432579075272</v>
      </c>
      <c r="G8" s="60">
        <f t="shared" si="1"/>
        <v>1.7106243122248728</v>
      </c>
      <c r="H8" s="53" t="s">
        <v>352</v>
      </c>
    </row>
    <row r="9" spans="1:8" x14ac:dyDescent="0.25">
      <c r="A9" s="76" t="s">
        <v>589</v>
      </c>
      <c r="B9" s="77"/>
      <c r="C9" s="77"/>
      <c r="D9" s="77"/>
      <c r="E9" s="77"/>
      <c r="F9" s="77"/>
      <c r="G9" s="77"/>
      <c r="H9" s="77"/>
    </row>
    <row r="10" spans="1:8" x14ac:dyDescent="0.25">
      <c r="A10" s="45"/>
      <c r="B10" s="33"/>
      <c r="C10" s="33"/>
      <c r="D10" s="33"/>
      <c r="E10" s="33"/>
      <c r="F10" s="33"/>
      <c r="G10" s="33"/>
      <c r="H10" s="33"/>
    </row>
    <row r="11" spans="1:8" x14ac:dyDescent="0.25">
      <c r="A11" s="33" t="s">
        <v>239</v>
      </c>
      <c r="B11" s="33"/>
      <c r="C11" s="33"/>
      <c r="D11" s="33"/>
      <c r="E11" s="33"/>
      <c r="F11" s="33"/>
      <c r="G11" s="33"/>
      <c r="H11" s="33"/>
    </row>
    <row r="12" spans="1:8" x14ac:dyDescent="0.25">
      <c r="A12" s="46" t="s">
        <v>212</v>
      </c>
      <c r="B12" s="33"/>
      <c r="C12" s="33"/>
      <c r="D12" s="33"/>
      <c r="E12" s="33"/>
      <c r="F12" s="33"/>
      <c r="G12" s="33"/>
      <c r="H12" s="33"/>
    </row>
    <row r="13" spans="1:8" x14ac:dyDescent="0.25">
      <c r="A13" s="33"/>
      <c r="B13" s="33"/>
      <c r="C13" s="33"/>
      <c r="D13" s="33"/>
      <c r="E13" s="33"/>
      <c r="F13" s="33"/>
      <c r="G13" s="33"/>
      <c r="H13" s="33"/>
    </row>
    <row r="14" spans="1:8" x14ac:dyDescent="0.25">
      <c r="A14" s="46" t="s">
        <v>70</v>
      </c>
      <c r="B14" s="33"/>
      <c r="C14" s="33"/>
      <c r="D14" s="33"/>
      <c r="E14" s="33"/>
      <c r="F14" s="33"/>
      <c r="G14" s="33"/>
      <c r="H14" s="33"/>
    </row>
    <row r="15" spans="1:8" x14ac:dyDescent="0.25">
      <c r="A15" s="33"/>
      <c r="B15" s="33"/>
      <c r="C15" s="33"/>
      <c r="D15" s="33"/>
      <c r="E15" s="33"/>
      <c r="F15" s="33"/>
      <c r="G15" s="33"/>
      <c r="H15" s="33"/>
    </row>
    <row r="16" spans="1:8" x14ac:dyDescent="0.25">
      <c r="A16" s="46" t="s">
        <v>240</v>
      </c>
      <c r="B16" s="33"/>
      <c r="C16" s="33"/>
      <c r="D16" s="33"/>
      <c r="E16" s="33"/>
      <c r="F16" s="33"/>
      <c r="G16" s="33"/>
      <c r="H16" s="33"/>
    </row>
  </sheetData>
  <mergeCells count="2">
    <mergeCell ref="A9:H9"/>
    <mergeCell ref="A1:H1"/>
  </mergeCells>
  <hyperlinks>
    <hyperlink ref="A12" r:id="rId1" xr:uid="{00000000-0004-0000-3900-000000000000}"/>
    <hyperlink ref="A14" location="'Technical specifications'!A1" display="Technical specifications" xr:uid="{00000000-0004-0000-3900-000001000000}"/>
    <hyperlink ref="A16" location="Contents!A1" display="Back to contents" xr:uid="{00000000-0004-0000-3900-000002000000}"/>
  </hyperlinks>
  <pageMargins left="0.75" right="0.75" top="1" bottom="1" header="0.5" footer="0.5"/>
  <ignoredErrors>
    <ignoredError sqref="D2:F2" numberStoredAsText="1"/>
  </ignoredError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19"/>
  <sheetViews>
    <sheetView workbookViewId="0">
      <selection sqref="A1:D1"/>
    </sheetView>
  </sheetViews>
  <sheetFormatPr defaultRowHeight="15" x14ac:dyDescent="0.25"/>
  <cols>
    <col min="1" max="1" width="18" customWidth="1"/>
    <col min="2" max="4" width="20" customWidth="1"/>
  </cols>
  <sheetData>
    <row r="1" spans="1:4" ht="42" customHeight="1" x14ac:dyDescent="0.25">
      <c r="A1" s="74" t="s">
        <v>58</v>
      </c>
      <c r="B1" s="75"/>
      <c r="C1" s="75"/>
      <c r="D1" s="75"/>
    </row>
    <row r="2" spans="1:4" ht="23.25" x14ac:dyDescent="0.25">
      <c r="A2" s="34" t="s">
        <v>337</v>
      </c>
      <c r="B2" s="35" t="s">
        <v>578</v>
      </c>
      <c r="C2" s="35" t="s">
        <v>590</v>
      </c>
      <c r="D2" s="35" t="s">
        <v>591</v>
      </c>
    </row>
    <row r="3" spans="1:4" x14ac:dyDescent="0.25">
      <c r="A3" s="36" t="s">
        <v>338</v>
      </c>
      <c r="B3" s="37">
        <v>19013</v>
      </c>
      <c r="C3" s="37">
        <v>35931</v>
      </c>
      <c r="D3" s="37">
        <v>36174</v>
      </c>
    </row>
    <row r="4" spans="1:4" x14ac:dyDescent="0.25">
      <c r="A4" s="36" t="s">
        <v>339</v>
      </c>
      <c r="B4" s="37">
        <v>10030</v>
      </c>
      <c r="C4" s="37">
        <v>25677</v>
      </c>
      <c r="D4" s="37">
        <v>25677</v>
      </c>
    </row>
    <row r="5" spans="1:4" x14ac:dyDescent="0.25">
      <c r="A5" s="36" t="s">
        <v>340</v>
      </c>
      <c r="B5" s="37">
        <v>17355</v>
      </c>
      <c r="C5" s="37">
        <v>23088</v>
      </c>
      <c r="D5" s="37">
        <v>23088</v>
      </c>
    </row>
    <row r="6" spans="1:4" x14ac:dyDescent="0.25">
      <c r="A6" s="36" t="s">
        <v>341</v>
      </c>
      <c r="B6" s="37">
        <v>5022</v>
      </c>
      <c r="C6" s="37">
        <v>9846</v>
      </c>
      <c r="D6" s="37">
        <v>9846</v>
      </c>
    </row>
    <row r="7" spans="1:4" x14ac:dyDescent="0.25">
      <c r="A7" s="36" t="s">
        <v>342</v>
      </c>
      <c r="B7" s="37">
        <v>4197</v>
      </c>
      <c r="C7" s="37">
        <v>8909</v>
      </c>
      <c r="D7" s="37">
        <v>8991</v>
      </c>
    </row>
    <row r="8" spans="1:4" x14ac:dyDescent="0.25">
      <c r="A8" s="36" t="s">
        <v>343</v>
      </c>
      <c r="B8" s="37">
        <v>1088</v>
      </c>
      <c r="C8" s="37">
        <v>2782</v>
      </c>
      <c r="D8" s="37">
        <v>2810</v>
      </c>
    </row>
    <row r="9" spans="1:4" x14ac:dyDescent="0.25">
      <c r="A9" s="36" t="s">
        <v>344</v>
      </c>
      <c r="B9" s="37">
        <v>1147</v>
      </c>
      <c r="C9" s="37">
        <v>1845</v>
      </c>
      <c r="D9" s="37">
        <v>1845</v>
      </c>
    </row>
    <row r="10" spans="1:4" x14ac:dyDescent="0.25">
      <c r="A10" s="36" t="s">
        <v>345</v>
      </c>
      <c r="B10" s="37">
        <v>495</v>
      </c>
      <c r="C10" s="37">
        <v>729</v>
      </c>
      <c r="D10" s="37">
        <v>743</v>
      </c>
    </row>
    <row r="11" spans="1:4" x14ac:dyDescent="0.25">
      <c r="A11" s="42" t="s">
        <v>235</v>
      </c>
      <c r="B11" s="43">
        <v>58347</v>
      </c>
      <c r="C11" s="43">
        <v>108807</v>
      </c>
      <c r="D11" s="43">
        <v>109174</v>
      </c>
    </row>
    <row r="12" spans="1:4" x14ac:dyDescent="0.25">
      <c r="A12" s="76" t="s">
        <v>592</v>
      </c>
      <c r="B12" s="77"/>
      <c r="C12" s="77"/>
      <c r="D12" s="77"/>
    </row>
    <row r="13" spans="1:4" x14ac:dyDescent="0.25">
      <c r="A13" s="45"/>
      <c r="B13" s="33"/>
      <c r="C13" s="33"/>
      <c r="D13" s="33"/>
    </row>
    <row r="14" spans="1:4" x14ac:dyDescent="0.25">
      <c r="A14" s="33" t="s">
        <v>239</v>
      </c>
      <c r="B14" s="33"/>
      <c r="C14" s="33"/>
      <c r="D14" s="33"/>
    </row>
    <row r="15" spans="1:4" x14ac:dyDescent="0.25">
      <c r="A15" s="46" t="s">
        <v>212</v>
      </c>
      <c r="B15" s="33"/>
      <c r="C15" s="33"/>
      <c r="D15" s="33"/>
    </row>
    <row r="16" spans="1:4" x14ac:dyDescent="0.25">
      <c r="A16" s="33"/>
      <c r="B16" s="33"/>
      <c r="C16" s="33"/>
      <c r="D16" s="33"/>
    </row>
    <row r="17" spans="1:4" x14ac:dyDescent="0.25">
      <c r="A17" s="46" t="s">
        <v>70</v>
      </c>
      <c r="B17" s="33"/>
      <c r="C17" s="33"/>
      <c r="D17" s="33"/>
    </row>
    <row r="18" spans="1:4" x14ac:dyDescent="0.25">
      <c r="A18" s="33"/>
      <c r="B18" s="33"/>
      <c r="C18" s="33"/>
      <c r="D18" s="33"/>
    </row>
    <row r="19" spans="1:4" x14ac:dyDescent="0.25">
      <c r="A19" s="46" t="s">
        <v>240</v>
      </c>
      <c r="B19" s="33"/>
      <c r="C19" s="33"/>
      <c r="D19" s="33"/>
    </row>
  </sheetData>
  <mergeCells count="2">
    <mergeCell ref="A1:D1"/>
    <mergeCell ref="A12:D12"/>
  </mergeCells>
  <hyperlinks>
    <hyperlink ref="A15" r:id="rId1" xr:uid="{00000000-0004-0000-3A00-000000000000}"/>
    <hyperlink ref="A17" location="'Technical specifications'!A1" display="Technical specifications" xr:uid="{00000000-0004-0000-3A00-000001000000}"/>
    <hyperlink ref="A19" location="Contents!A1" display="Back to contents" xr:uid="{00000000-0004-0000-3A00-000002000000}"/>
  </hyperlink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K22"/>
  <sheetViews>
    <sheetView workbookViewId="0">
      <selection sqref="A1:K1"/>
    </sheetView>
  </sheetViews>
  <sheetFormatPr defaultRowHeight="15" x14ac:dyDescent="0.25"/>
  <cols>
    <col min="1" max="1" width="30" customWidth="1"/>
    <col min="2" max="2" width="42" customWidth="1"/>
    <col min="3" max="11" width="8.42578125" customWidth="1"/>
  </cols>
  <sheetData>
    <row r="1" spans="1:11" ht="33.75" customHeight="1" x14ac:dyDescent="0.25">
      <c r="A1" s="74" t="s">
        <v>59</v>
      </c>
      <c r="B1" s="75"/>
      <c r="C1" s="75"/>
      <c r="D1" s="75"/>
      <c r="E1" s="75"/>
      <c r="F1" s="75"/>
      <c r="G1" s="75"/>
      <c r="H1" s="75"/>
      <c r="I1" s="75"/>
      <c r="J1" s="75"/>
      <c r="K1" s="75"/>
    </row>
    <row r="2" spans="1:11" x14ac:dyDescent="0.25">
      <c r="A2" s="34" t="s">
        <v>347</v>
      </c>
      <c r="B2" s="34" t="s">
        <v>242</v>
      </c>
      <c r="C2" s="35" t="s">
        <v>338</v>
      </c>
      <c r="D2" s="35" t="s">
        <v>339</v>
      </c>
      <c r="E2" s="35" t="s">
        <v>340</v>
      </c>
      <c r="F2" s="35" t="s">
        <v>341</v>
      </c>
      <c r="G2" s="35" t="s">
        <v>342</v>
      </c>
      <c r="H2" s="35" t="s">
        <v>343</v>
      </c>
      <c r="I2" s="35" t="s">
        <v>344</v>
      </c>
      <c r="J2" s="35" t="s">
        <v>345</v>
      </c>
      <c r="K2" s="35" t="s">
        <v>235</v>
      </c>
    </row>
    <row r="3" spans="1:11" x14ac:dyDescent="0.25">
      <c r="A3" s="36" t="s">
        <v>348</v>
      </c>
      <c r="B3" s="36" t="s">
        <v>349</v>
      </c>
      <c r="C3" s="37">
        <v>591</v>
      </c>
      <c r="D3" s="37">
        <v>131</v>
      </c>
      <c r="E3" s="37">
        <v>662</v>
      </c>
      <c r="F3" s="37">
        <v>141</v>
      </c>
      <c r="G3" s="37">
        <v>52</v>
      </c>
      <c r="H3" s="37">
        <v>33</v>
      </c>
      <c r="I3" s="37">
        <v>15</v>
      </c>
      <c r="J3" s="37">
        <v>167</v>
      </c>
      <c r="K3" s="37">
        <v>1792</v>
      </c>
    </row>
    <row r="4" spans="1:11" x14ac:dyDescent="0.25">
      <c r="A4" s="36" t="s">
        <v>350</v>
      </c>
      <c r="B4" s="36" t="s">
        <v>349</v>
      </c>
      <c r="C4" s="37">
        <v>18289</v>
      </c>
      <c r="D4" s="37">
        <v>9775</v>
      </c>
      <c r="E4" s="37">
        <v>16012</v>
      </c>
      <c r="F4" s="37">
        <v>4881</v>
      </c>
      <c r="G4" s="37">
        <v>4057</v>
      </c>
      <c r="H4" s="37">
        <v>1287</v>
      </c>
      <c r="I4" s="37">
        <v>1101</v>
      </c>
      <c r="J4" s="37">
        <v>329</v>
      </c>
      <c r="K4" s="37">
        <v>55731</v>
      </c>
    </row>
    <row r="5" spans="1:11" x14ac:dyDescent="0.25">
      <c r="A5" s="36" t="s">
        <v>351</v>
      </c>
      <c r="B5" s="36" t="s">
        <v>349</v>
      </c>
      <c r="C5" s="37">
        <v>133</v>
      </c>
      <c r="D5" s="37">
        <v>124</v>
      </c>
      <c r="E5" s="37">
        <v>681</v>
      </c>
      <c r="F5" s="37" t="s">
        <v>352</v>
      </c>
      <c r="G5" s="37">
        <v>88</v>
      </c>
      <c r="H5" s="37">
        <v>39</v>
      </c>
      <c r="I5" s="37">
        <v>31</v>
      </c>
      <c r="J5" s="37" t="s">
        <v>352</v>
      </c>
      <c r="K5" s="37">
        <v>1096</v>
      </c>
    </row>
    <row r="6" spans="1:11" x14ac:dyDescent="0.25">
      <c r="A6" s="36" t="s">
        <v>235</v>
      </c>
      <c r="B6" s="36" t="s">
        <v>349</v>
      </c>
      <c r="C6" s="37">
        <v>19013</v>
      </c>
      <c r="D6" s="37">
        <v>10030</v>
      </c>
      <c r="E6" s="37">
        <v>17355</v>
      </c>
      <c r="F6" s="37">
        <v>5022</v>
      </c>
      <c r="G6" s="37">
        <v>4197</v>
      </c>
      <c r="H6" s="37">
        <v>1359</v>
      </c>
      <c r="I6" s="37">
        <v>1147</v>
      </c>
      <c r="J6" s="37">
        <v>496</v>
      </c>
      <c r="K6" s="37">
        <v>58619</v>
      </c>
    </row>
    <row r="7" spans="1:11" x14ac:dyDescent="0.25">
      <c r="A7" s="36" t="s">
        <v>348</v>
      </c>
      <c r="B7" s="36" t="s">
        <v>353</v>
      </c>
      <c r="C7" s="38">
        <v>3.0817226079000002</v>
      </c>
      <c r="D7" s="38">
        <v>2.9030364683999998</v>
      </c>
      <c r="E7" s="38">
        <v>4.4390479891999997</v>
      </c>
      <c r="F7" s="38">
        <v>2.3160369691999998</v>
      </c>
      <c r="G7" s="38">
        <v>2.0320053781</v>
      </c>
      <c r="H7" s="38">
        <v>1.7507586604000001</v>
      </c>
      <c r="I7" s="38">
        <v>4.6363276752000004</v>
      </c>
      <c r="J7" s="38">
        <v>4.2094216158000002</v>
      </c>
      <c r="K7" s="38">
        <v>3.3176648511</v>
      </c>
    </row>
    <row r="8" spans="1:11" x14ac:dyDescent="0.25">
      <c r="A8" s="36" t="s">
        <v>354</v>
      </c>
      <c r="B8" s="36" t="s">
        <v>353</v>
      </c>
      <c r="C8" s="38">
        <v>2.1602304971000001</v>
      </c>
      <c r="D8" s="38">
        <v>1.4649433934</v>
      </c>
      <c r="E8" s="38">
        <v>3.0031051259999999</v>
      </c>
      <c r="F8" s="38">
        <v>1.7439303696999999</v>
      </c>
      <c r="G8" s="38">
        <v>1.9275162057999999</v>
      </c>
      <c r="H8" s="38">
        <v>2.4227414181000002</v>
      </c>
      <c r="I8" s="38">
        <v>3.8496372667999998</v>
      </c>
      <c r="J8" s="38">
        <v>2.3688322029000002</v>
      </c>
      <c r="K8" s="38">
        <v>2.1020901641999998</v>
      </c>
    </row>
    <row r="9" spans="1:11" x14ac:dyDescent="0.25">
      <c r="A9" s="39" t="s">
        <v>355</v>
      </c>
      <c r="B9" s="39" t="s">
        <v>353</v>
      </c>
      <c r="C9" s="41">
        <v>1.7134614049000001</v>
      </c>
      <c r="D9" s="41">
        <v>1.1652665123999999</v>
      </c>
      <c r="E9" s="41">
        <v>2.4648912605</v>
      </c>
      <c r="F9" s="41">
        <v>1.3999800144000001</v>
      </c>
      <c r="G9" s="41">
        <v>1.5175820888</v>
      </c>
      <c r="H9" s="41">
        <v>2.4038492486999998</v>
      </c>
      <c r="I9" s="41">
        <v>3.8588635178000001</v>
      </c>
      <c r="J9" s="41">
        <v>2.4329290926999998</v>
      </c>
      <c r="K9" s="41">
        <v>1.6897186503999999</v>
      </c>
    </row>
    <row r="10" spans="1:11" x14ac:dyDescent="0.25">
      <c r="A10" s="36" t="s">
        <v>348</v>
      </c>
      <c r="B10" s="36" t="s">
        <v>356</v>
      </c>
      <c r="C10" s="38">
        <v>0.4074428994</v>
      </c>
      <c r="D10" s="38">
        <v>0.25972996009999999</v>
      </c>
      <c r="E10" s="38">
        <v>0.31230245220000002</v>
      </c>
      <c r="F10" s="38">
        <v>0.1190194821</v>
      </c>
      <c r="G10" s="38">
        <v>0.12602394450000001</v>
      </c>
      <c r="H10" s="38">
        <v>0.2123142251</v>
      </c>
      <c r="I10" s="38">
        <v>0.24382314690000001</v>
      </c>
      <c r="J10" s="38">
        <v>0.13167127910000001</v>
      </c>
      <c r="K10" s="38">
        <v>0.25037794219999998</v>
      </c>
    </row>
    <row r="11" spans="1:11" x14ac:dyDescent="0.25">
      <c r="A11" s="36" t="s">
        <v>350</v>
      </c>
      <c r="B11" s="36" t="s">
        <v>356</v>
      </c>
      <c r="C11" s="38">
        <v>0.55707990100000004</v>
      </c>
      <c r="D11" s="38">
        <v>0.3087659848</v>
      </c>
      <c r="E11" s="38">
        <v>0.56303894750000005</v>
      </c>
      <c r="F11" s="38">
        <v>0.41795359440000002</v>
      </c>
      <c r="G11" s="38">
        <v>0.4986590165</v>
      </c>
      <c r="H11" s="38">
        <v>0.49078304109999998</v>
      </c>
      <c r="I11" s="38">
        <v>0.73856928200000005</v>
      </c>
      <c r="J11" s="38">
        <v>0.4912574099</v>
      </c>
      <c r="K11" s="38">
        <v>0.47421012839999999</v>
      </c>
    </row>
    <row r="12" spans="1:11" x14ac:dyDescent="0.25">
      <c r="A12" s="36" t="s">
        <v>351</v>
      </c>
      <c r="B12" s="36" t="s">
        <v>356</v>
      </c>
      <c r="C12" s="38">
        <v>0.12727394519999999</v>
      </c>
      <c r="D12" s="38">
        <v>0.24433497539999999</v>
      </c>
      <c r="E12" s="38">
        <v>0.68821942169999994</v>
      </c>
      <c r="F12" s="38">
        <v>0</v>
      </c>
      <c r="G12" s="38">
        <v>0.23112885429999999</v>
      </c>
      <c r="H12" s="38">
        <v>0.34424927179999998</v>
      </c>
      <c r="I12" s="38">
        <v>0.74180425940000005</v>
      </c>
      <c r="J12" s="38">
        <v>0</v>
      </c>
      <c r="K12" s="38">
        <v>0.35515114990000002</v>
      </c>
    </row>
    <row r="13" spans="1:11" x14ac:dyDescent="0.25">
      <c r="A13" s="52" t="s">
        <v>235</v>
      </c>
      <c r="B13" s="52" t="s">
        <v>356</v>
      </c>
      <c r="C13" s="54">
        <v>0.53822126830000006</v>
      </c>
      <c r="D13" s="54">
        <v>0.30700807920000001</v>
      </c>
      <c r="E13" s="54">
        <v>0.55011794810000003</v>
      </c>
      <c r="F13" s="54">
        <v>0.39042183749999998</v>
      </c>
      <c r="G13" s="54">
        <v>0.47003196260000002</v>
      </c>
      <c r="H13" s="54">
        <v>0.47006980139999999</v>
      </c>
      <c r="I13" s="54">
        <v>0.71955985769999997</v>
      </c>
      <c r="J13" s="54">
        <v>0.25485430660000002</v>
      </c>
      <c r="K13" s="54">
        <v>0.45879594610000002</v>
      </c>
    </row>
    <row r="14" spans="1:11" x14ac:dyDescent="0.25">
      <c r="A14" s="76" t="s">
        <v>592</v>
      </c>
      <c r="B14" s="77"/>
      <c r="C14" s="77"/>
      <c r="D14" s="77"/>
      <c r="E14" s="77"/>
      <c r="F14" s="77"/>
      <c r="G14" s="77"/>
      <c r="H14" s="77"/>
      <c r="I14" s="77"/>
      <c r="J14" s="77"/>
      <c r="K14" s="77"/>
    </row>
    <row r="15" spans="1:11" x14ac:dyDescent="0.25">
      <c r="A15" s="76" t="s">
        <v>593</v>
      </c>
      <c r="B15" s="77"/>
      <c r="C15" s="77"/>
      <c r="D15" s="77"/>
      <c r="E15" s="77"/>
      <c r="F15" s="77"/>
      <c r="G15" s="77"/>
      <c r="H15" s="77"/>
      <c r="I15" s="77"/>
      <c r="J15" s="77"/>
      <c r="K15" s="77"/>
    </row>
    <row r="16" spans="1:11" x14ac:dyDescent="0.25">
      <c r="A16" s="45"/>
      <c r="B16" s="33"/>
      <c r="C16" s="33"/>
      <c r="D16" s="33"/>
      <c r="E16" s="33"/>
      <c r="F16" s="33"/>
      <c r="G16" s="33"/>
      <c r="H16" s="33"/>
      <c r="I16" s="33"/>
      <c r="J16" s="33"/>
      <c r="K16" s="33"/>
    </row>
    <row r="17" spans="1:11" x14ac:dyDescent="0.25">
      <c r="A17" s="33" t="s">
        <v>239</v>
      </c>
      <c r="B17" s="33"/>
      <c r="C17" s="33"/>
      <c r="D17" s="33"/>
      <c r="E17" s="33"/>
      <c r="F17" s="33"/>
      <c r="G17" s="33"/>
      <c r="H17" s="33"/>
      <c r="I17" s="33"/>
      <c r="J17" s="33"/>
      <c r="K17" s="33"/>
    </row>
    <row r="18" spans="1:11" x14ac:dyDescent="0.25">
      <c r="A18" s="46" t="s">
        <v>212</v>
      </c>
      <c r="B18" s="33"/>
      <c r="C18" s="33"/>
      <c r="D18" s="33"/>
      <c r="E18" s="33"/>
      <c r="F18" s="33"/>
      <c r="G18" s="33"/>
      <c r="H18" s="33"/>
      <c r="I18" s="33"/>
      <c r="J18" s="33"/>
      <c r="K18" s="33"/>
    </row>
    <row r="19" spans="1:11" x14ac:dyDescent="0.25">
      <c r="A19" s="33"/>
      <c r="B19" s="33"/>
      <c r="C19" s="33"/>
      <c r="D19" s="33"/>
      <c r="E19" s="33"/>
      <c r="F19" s="33"/>
      <c r="G19" s="33"/>
      <c r="H19" s="33"/>
      <c r="I19" s="33"/>
      <c r="J19" s="33"/>
      <c r="K19" s="33"/>
    </row>
    <row r="20" spans="1:11" x14ac:dyDescent="0.25">
      <c r="A20" s="46" t="s">
        <v>70</v>
      </c>
      <c r="B20" s="33"/>
      <c r="C20" s="33"/>
      <c r="D20" s="33"/>
      <c r="E20" s="33"/>
      <c r="F20" s="33"/>
      <c r="G20" s="33"/>
      <c r="H20" s="33"/>
      <c r="I20" s="33"/>
      <c r="J20" s="33"/>
      <c r="K20" s="33"/>
    </row>
    <row r="21" spans="1:11" x14ac:dyDescent="0.25">
      <c r="A21" s="33"/>
      <c r="B21" s="33"/>
      <c r="C21" s="33"/>
      <c r="D21" s="33"/>
      <c r="E21" s="33"/>
      <c r="F21" s="33"/>
      <c r="G21" s="33"/>
      <c r="H21" s="33"/>
      <c r="I21" s="33"/>
      <c r="J21" s="33"/>
      <c r="K21" s="33"/>
    </row>
    <row r="22" spans="1:11" x14ac:dyDescent="0.25">
      <c r="A22" s="46" t="s">
        <v>240</v>
      </c>
      <c r="B22" s="33"/>
      <c r="C22" s="33"/>
      <c r="D22" s="33"/>
      <c r="E22" s="33"/>
      <c r="F22" s="33"/>
      <c r="G22" s="33"/>
      <c r="H22" s="33"/>
      <c r="I22" s="33"/>
      <c r="J22" s="33"/>
      <c r="K22" s="33"/>
    </row>
  </sheetData>
  <mergeCells count="3">
    <mergeCell ref="A15:K15"/>
    <mergeCell ref="A14:K14"/>
    <mergeCell ref="A1:K1"/>
  </mergeCells>
  <hyperlinks>
    <hyperlink ref="A18" r:id="rId1" xr:uid="{00000000-0004-0000-3B00-000000000000}"/>
    <hyperlink ref="A20" location="'Technical specifications'!A1" display="Technical specifications" xr:uid="{00000000-0004-0000-3B00-000001000000}"/>
    <hyperlink ref="A22" location="Contents!A1" display="Back to contents" xr:uid="{00000000-0004-0000-3B00-000002000000}"/>
  </hyperlink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6"/>
  <sheetViews>
    <sheetView workbookViewId="0">
      <selection sqref="A1:H1"/>
    </sheetView>
  </sheetViews>
  <sheetFormatPr defaultRowHeight="15" x14ac:dyDescent="0.25"/>
  <cols>
    <col min="1" max="1" width="17" customWidth="1"/>
    <col min="2" max="2" width="32" customWidth="1"/>
    <col min="3" max="8" width="16.5703125" customWidth="1"/>
  </cols>
  <sheetData>
    <row r="1" spans="1:8" ht="33.75" customHeight="1" x14ac:dyDescent="0.25">
      <c r="A1" s="74" t="s">
        <v>60</v>
      </c>
      <c r="B1" s="75"/>
      <c r="C1" s="75"/>
      <c r="D1" s="75"/>
      <c r="E1" s="75"/>
      <c r="F1" s="75"/>
      <c r="G1" s="75"/>
      <c r="H1" s="75"/>
    </row>
    <row r="2" spans="1:8" x14ac:dyDescent="0.25">
      <c r="A2" s="34" t="s">
        <v>214</v>
      </c>
      <c r="B2" s="34" t="s">
        <v>242</v>
      </c>
      <c r="C2" s="35" t="s">
        <v>441</v>
      </c>
      <c r="D2" s="35" t="s">
        <v>442</v>
      </c>
      <c r="E2" s="35" t="s">
        <v>443</v>
      </c>
      <c r="F2" s="35" t="s">
        <v>444</v>
      </c>
      <c r="G2" s="35" t="s">
        <v>445</v>
      </c>
      <c r="H2" s="35" t="s">
        <v>235</v>
      </c>
    </row>
    <row r="3" spans="1:8" x14ac:dyDescent="0.25">
      <c r="A3" s="36" t="s">
        <v>224</v>
      </c>
      <c r="B3" s="36" t="s">
        <v>349</v>
      </c>
      <c r="C3" s="37">
        <v>31428</v>
      </c>
      <c r="D3" s="37">
        <v>12283</v>
      </c>
      <c r="E3" s="37">
        <v>5225</v>
      </c>
      <c r="F3" s="37">
        <v>546</v>
      </c>
      <c r="G3" s="37">
        <v>211</v>
      </c>
      <c r="H3" s="37">
        <v>50321</v>
      </c>
    </row>
    <row r="4" spans="1:8" x14ac:dyDescent="0.25">
      <c r="A4" s="36" t="s">
        <v>224</v>
      </c>
      <c r="B4" s="36" t="s">
        <v>353</v>
      </c>
      <c r="C4" s="38">
        <v>1.2760538886999999</v>
      </c>
      <c r="D4" s="38">
        <v>1.5433054263999999</v>
      </c>
      <c r="E4" s="38">
        <v>1.5843892045000001</v>
      </c>
      <c r="F4" s="38">
        <v>1.5701700156</v>
      </c>
      <c r="G4" s="38">
        <v>1.2365835543999999</v>
      </c>
      <c r="H4" s="38">
        <v>1.3811917999000001</v>
      </c>
    </row>
    <row r="5" spans="1:8" x14ac:dyDescent="0.25">
      <c r="A5" s="36" t="s">
        <v>224</v>
      </c>
      <c r="B5" s="36" t="s">
        <v>446</v>
      </c>
      <c r="C5" s="38">
        <f>C4/$H4</f>
        <v>0.92387884781272789</v>
      </c>
      <c r="D5" s="38">
        <f t="shared" ref="D5:G5" si="0">D4/$H4</f>
        <v>1.1173722769797338</v>
      </c>
      <c r="E5" s="38">
        <f t="shared" si="0"/>
        <v>1.1471174420632324</v>
      </c>
      <c r="F5" s="38">
        <f t="shared" si="0"/>
        <v>1.1368225728777728</v>
      </c>
      <c r="G5" s="38">
        <f t="shared" si="0"/>
        <v>0.89530183605892388</v>
      </c>
      <c r="H5" s="37" t="s">
        <v>352</v>
      </c>
    </row>
    <row r="6" spans="1:8" x14ac:dyDescent="0.25">
      <c r="A6" s="36" t="s">
        <v>237</v>
      </c>
      <c r="B6" s="36" t="s">
        <v>349</v>
      </c>
      <c r="C6" s="37">
        <v>6289</v>
      </c>
      <c r="D6" s="37">
        <v>1553</v>
      </c>
      <c r="E6" s="37">
        <v>415</v>
      </c>
      <c r="F6" s="37">
        <v>28</v>
      </c>
      <c r="G6" s="37">
        <v>7</v>
      </c>
      <c r="H6" s="37">
        <v>8298</v>
      </c>
    </row>
    <row r="7" spans="1:8" x14ac:dyDescent="0.25">
      <c r="A7" s="36" t="s">
        <v>237</v>
      </c>
      <c r="B7" s="36" t="s">
        <v>353</v>
      </c>
      <c r="C7" s="38">
        <v>0.25840319760000002</v>
      </c>
      <c r="D7" s="38">
        <v>0.20615093649999999</v>
      </c>
      <c r="E7" s="38">
        <v>0.12704728579999999</v>
      </c>
      <c r="F7" s="38">
        <v>7.7132043999999997E-2</v>
      </c>
      <c r="G7" s="38">
        <v>4.0932980299999998E-2</v>
      </c>
      <c r="H7" s="38">
        <v>0.23190794989999999</v>
      </c>
    </row>
    <row r="8" spans="1:8" ht="15.75" thickBot="1" x14ac:dyDescent="0.3">
      <c r="A8" s="52" t="s">
        <v>237</v>
      </c>
      <c r="B8" s="52" t="s">
        <v>446</v>
      </c>
      <c r="C8" s="60">
        <f>C7/$H7</f>
        <v>1.1142489841828402</v>
      </c>
      <c r="D8" s="60">
        <f t="shared" ref="D8:G8" si="1">D7/$H7</f>
        <v>0.88893432324719113</v>
      </c>
      <c r="E8" s="60">
        <f t="shared" si="1"/>
        <v>0.54783497441456186</v>
      </c>
      <c r="F8" s="60">
        <f t="shared" si="1"/>
        <v>0.33259767090028508</v>
      </c>
      <c r="G8" s="60">
        <f t="shared" si="1"/>
        <v>0.17650529150747324</v>
      </c>
      <c r="H8" s="53" t="s">
        <v>352</v>
      </c>
    </row>
    <row r="9" spans="1:8" x14ac:dyDescent="0.25">
      <c r="A9" s="76" t="s">
        <v>594</v>
      </c>
      <c r="B9" s="77"/>
      <c r="C9" s="77"/>
      <c r="D9" s="77"/>
      <c r="E9" s="77"/>
      <c r="F9" s="77"/>
      <c r="G9" s="77"/>
      <c r="H9" s="77"/>
    </row>
    <row r="10" spans="1:8" x14ac:dyDescent="0.25">
      <c r="A10" s="45"/>
      <c r="B10" s="33"/>
      <c r="C10" s="33"/>
      <c r="D10" s="33"/>
      <c r="E10" s="33"/>
      <c r="F10" s="33"/>
      <c r="G10" s="33"/>
      <c r="H10" s="33"/>
    </row>
    <row r="11" spans="1:8" x14ac:dyDescent="0.25">
      <c r="A11" s="33" t="s">
        <v>239</v>
      </c>
      <c r="B11" s="33"/>
      <c r="C11" s="33"/>
      <c r="D11" s="33"/>
      <c r="E11" s="33"/>
      <c r="F11" s="33"/>
      <c r="G11" s="33"/>
      <c r="H11" s="33"/>
    </row>
    <row r="12" spans="1:8" x14ac:dyDescent="0.25">
      <c r="A12" s="46" t="s">
        <v>212</v>
      </c>
      <c r="B12" s="33"/>
      <c r="C12" s="33"/>
      <c r="D12" s="33"/>
      <c r="E12" s="33"/>
      <c r="F12" s="33"/>
      <c r="G12" s="33"/>
      <c r="H12" s="33"/>
    </row>
    <row r="13" spans="1:8" x14ac:dyDescent="0.25">
      <c r="A13" s="33"/>
      <c r="B13" s="33"/>
      <c r="C13" s="33"/>
      <c r="D13" s="33"/>
      <c r="E13" s="33"/>
      <c r="F13" s="33"/>
      <c r="G13" s="33"/>
      <c r="H13" s="33"/>
    </row>
    <row r="14" spans="1:8" x14ac:dyDescent="0.25">
      <c r="A14" s="46" t="s">
        <v>70</v>
      </c>
      <c r="B14" s="33"/>
      <c r="C14" s="33"/>
      <c r="D14" s="33"/>
      <c r="E14" s="33"/>
      <c r="F14" s="33"/>
      <c r="G14" s="33"/>
      <c r="H14" s="33"/>
    </row>
    <row r="15" spans="1:8" x14ac:dyDescent="0.25">
      <c r="A15" s="33"/>
      <c r="B15" s="33"/>
      <c r="C15" s="33"/>
      <c r="D15" s="33"/>
      <c r="E15" s="33"/>
      <c r="F15" s="33"/>
      <c r="G15" s="33"/>
      <c r="H15" s="33"/>
    </row>
    <row r="16" spans="1:8" x14ac:dyDescent="0.25">
      <c r="A16" s="46" t="s">
        <v>240</v>
      </c>
      <c r="B16" s="33"/>
      <c r="C16" s="33"/>
      <c r="D16" s="33"/>
      <c r="E16" s="33"/>
      <c r="F16" s="33"/>
      <c r="G16" s="33"/>
      <c r="H16" s="33"/>
    </row>
  </sheetData>
  <mergeCells count="2">
    <mergeCell ref="A9:H9"/>
    <mergeCell ref="A1:H1"/>
  </mergeCells>
  <hyperlinks>
    <hyperlink ref="A12" r:id="rId1" xr:uid="{00000000-0004-0000-3C00-000000000000}"/>
    <hyperlink ref="A14" location="'Technical specifications'!A1" display="Technical specifications" xr:uid="{00000000-0004-0000-3C00-000001000000}"/>
    <hyperlink ref="A16" location="Contents!A1" display="Back to contents" xr:uid="{00000000-0004-0000-3C00-000002000000}"/>
  </hyperlink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16"/>
  <sheetViews>
    <sheetView workbookViewId="0">
      <selection sqref="A1:H1"/>
    </sheetView>
  </sheetViews>
  <sheetFormatPr defaultRowHeight="15" x14ac:dyDescent="0.25"/>
  <cols>
    <col min="1" max="1" width="17" customWidth="1"/>
    <col min="2" max="2" width="32" customWidth="1"/>
    <col min="3" max="3" width="10" customWidth="1"/>
    <col min="4" max="6" width="8.42578125" customWidth="1"/>
    <col min="7" max="7" width="10" customWidth="1"/>
    <col min="8" max="8" width="8.42578125" customWidth="1"/>
  </cols>
  <sheetData>
    <row r="1" spans="1:8" ht="33.75" customHeight="1" x14ac:dyDescent="0.25">
      <c r="A1" s="74" t="s">
        <v>61</v>
      </c>
      <c r="B1" s="75"/>
      <c r="C1" s="75"/>
      <c r="D1" s="75"/>
      <c r="E1" s="75"/>
      <c r="F1" s="75"/>
      <c r="G1" s="75"/>
      <c r="H1" s="75"/>
    </row>
    <row r="2" spans="1:8" x14ac:dyDescent="0.25">
      <c r="A2" s="34" t="s">
        <v>214</v>
      </c>
      <c r="B2" s="34" t="s">
        <v>242</v>
      </c>
      <c r="C2" s="35" t="s">
        <v>583</v>
      </c>
      <c r="D2" s="35" t="s">
        <v>584</v>
      </c>
      <c r="E2" s="35" t="s">
        <v>585</v>
      </c>
      <c r="F2" s="35" t="s">
        <v>586</v>
      </c>
      <c r="G2" s="35" t="s">
        <v>587</v>
      </c>
      <c r="H2" s="35" t="s">
        <v>235</v>
      </c>
    </row>
    <row r="3" spans="1:8" x14ac:dyDescent="0.25">
      <c r="A3" s="36" t="s">
        <v>224</v>
      </c>
      <c r="B3" s="36" t="s">
        <v>349</v>
      </c>
      <c r="C3" s="37">
        <v>12681</v>
      </c>
      <c r="D3" s="37">
        <v>11994</v>
      </c>
      <c r="E3" s="37">
        <v>10222</v>
      </c>
      <c r="F3" s="37">
        <v>8185</v>
      </c>
      <c r="G3" s="37">
        <v>6608</v>
      </c>
      <c r="H3" s="37">
        <v>50321</v>
      </c>
    </row>
    <row r="4" spans="1:8" x14ac:dyDescent="0.25">
      <c r="A4" s="36" t="s">
        <v>224</v>
      </c>
      <c r="B4" s="36" t="s">
        <v>353</v>
      </c>
      <c r="C4" s="38">
        <v>1.8205843933000001</v>
      </c>
      <c r="D4" s="38">
        <v>1.5875744323000001</v>
      </c>
      <c r="E4" s="38">
        <v>1.3128923890999999</v>
      </c>
      <c r="F4" s="38">
        <v>1.176451605</v>
      </c>
      <c r="G4" s="38">
        <v>0.92478184549999998</v>
      </c>
      <c r="H4" s="38">
        <v>1.3809836529999999</v>
      </c>
    </row>
    <row r="5" spans="1:8" x14ac:dyDescent="0.25">
      <c r="A5" s="36" t="s">
        <v>224</v>
      </c>
      <c r="B5" s="36" t="s">
        <v>446</v>
      </c>
      <c r="C5" s="38">
        <f>C4/$H4</f>
        <v>1.3183243620190777</v>
      </c>
      <c r="D5" s="38">
        <f t="shared" ref="D5:G5" si="0">D4/$H4</f>
        <v>1.1495968318315786</v>
      </c>
      <c r="E5" s="38">
        <f t="shared" si="0"/>
        <v>0.95069364959383773</v>
      </c>
      <c r="F5" s="38">
        <f t="shared" si="0"/>
        <v>0.85189393983362383</v>
      </c>
      <c r="G5" s="38">
        <f t="shared" si="0"/>
        <v>0.66965444774891913</v>
      </c>
      <c r="H5" s="37" t="s">
        <v>352</v>
      </c>
    </row>
    <row r="6" spans="1:8" x14ac:dyDescent="0.25">
      <c r="A6" s="36" t="s">
        <v>237</v>
      </c>
      <c r="B6" s="36" t="s">
        <v>349</v>
      </c>
      <c r="C6" s="37">
        <v>1098</v>
      </c>
      <c r="D6" s="37">
        <v>1224</v>
      </c>
      <c r="E6" s="37">
        <v>1876</v>
      </c>
      <c r="F6" s="37">
        <v>1618</v>
      </c>
      <c r="G6" s="37">
        <v>2476</v>
      </c>
      <c r="H6" s="37">
        <v>8298</v>
      </c>
    </row>
    <row r="7" spans="1:8" x14ac:dyDescent="0.25">
      <c r="A7" s="36" t="s">
        <v>237</v>
      </c>
      <c r="B7" s="36" t="s">
        <v>353</v>
      </c>
      <c r="C7" s="38">
        <v>0.1638111646</v>
      </c>
      <c r="D7" s="38">
        <v>0.16724231810000001</v>
      </c>
      <c r="E7" s="38">
        <v>0.2454564256</v>
      </c>
      <c r="F7" s="38">
        <v>0.2366088727</v>
      </c>
      <c r="G7" s="38">
        <v>0.34589837000000001</v>
      </c>
      <c r="H7" s="38">
        <v>0.2318739594</v>
      </c>
    </row>
    <row r="8" spans="1:8" ht="15.75" thickBot="1" x14ac:dyDescent="0.3">
      <c r="A8" s="52" t="s">
        <v>237</v>
      </c>
      <c r="B8" s="52" t="s">
        <v>446</v>
      </c>
      <c r="C8" s="60">
        <f>C7/$H7</f>
        <v>0.706466414011646</v>
      </c>
      <c r="D8" s="60">
        <f t="shared" ref="D8:G8" si="1">D7/$H7</f>
        <v>0.72126390791255024</v>
      </c>
      <c r="E8" s="60">
        <f t="shared" si="1"/>
        <v>1.0585769365182109</v>
      </c>
      <c r="F8" s="60">
        <f t="shared" si="1"/>
        <v>1.0204202029078735</v>
      </c>
      <c r="G8" s="60">
        <f t="shared" si="1"/>
        <v>1.4917516865414773</v>
      </c>
      <c r="H8" s="53" t="s">
        <v>352</v>
      </c>
    </row>
    <row r="9" spans="1:8" x14ac:dyDescent="0.25">
      <c r="A9" s="76" t="s">
        <v>595</v>
      </c>
      <c r="B9" s="77"/>
      <c r="C9" s="77"/>
      <c r="D9" s="77"/>
      <c r="E9" s="77"/>
      <c r="F9" s="77"/>
      <c r="G9" s="77"/>
      <c r="H9" s="77"/>
    </row>
    <row r="10" spans="1:8" x14ac:dyDescent="0.25">
      <c r="A10" s="45"/>
      <c r="B10" s="33"/>
      <c r="C10" s="33"/>
      <c r="D10" s="33"/>
      <c r="E10" s="33"/>
      <c r="F10" s="33"/>
      <c r="G10" s="33"/>
      <c r="H10" s="33"/>
    </row>
    <row r="11" spans="1:8" x14ac:dyDescent="0.25">
      <c r="A11" s="33" t="s">
        <v>239</v>
      </c>
      <c r="B11" s="33"/>
      <c r="C11" s="33"/>
      <c r="D11" s="33"/>
      <c r="E11" s="33"/>
      <c r="F11" s="33"/>
      <c r="G11" s="33"/>
      <c r="H11" s="33"/>
    </row>
    <row r="12" spans="1:8" x14ac:dyDescent="0.25">
      <c r="A12" s="46" t="s">
        <v>212</v>
      </c>
      <c r="B12" s="33"/>
      <c r="C12" s="33"/>
      <c r="D12" s="33"/>
      <c r="E12" s="33"/>
      <c r="F12" s="33"/>
      <c r="G12" s="33"/>
      <c r="H12" s="33"/>
    </row>
    <row r="13" spans="1:8" x14ac:dyDescent="0.25">
      <c r="A13" s="33"/>
      <c r="B13" s="33"/>
      <c r="C13" s="33"/>
      <c r="D13" s="33"/>
      <c r="E13" s="33"/>
      <c r="F13" s="33"/>
      <c r="G13" s="33"/>
      <c r="H13" s="33"/>
    </row>
    <row r="14" spans="1:8" x14ac:dyDescent="0.25">
      <c r="A14" s="46" t="s">
        <v>70</v>
      </c>
      <c r="B14" s="33"/>
      <c r="C14" s="33"/>
      <c r="D14" s="33"/>
      <c r="E14" s="33"/>
      <c r="F14" s="33"/>
      <c r="G14" s="33"/>
      <c r="H14" s="33"/>
    </row>
    <row r="15" spans="1:8" x14ac:dyDescent="0.25">
      <c r="A15" s="33"/>
      <c r="B15" s="33"/>
      <c r="C15" s="33"/>
      <c r="D15" s="33"/>
      <c r="E15" s="33"/>
      <c r="F15" s="33"/>
      <c r="G15" s="33"/>
      <c r="H15" s="33"/>
    </row>
    <row r="16" spans="1:8" x14ac:dyDescent="0.25">
      <c r="A16" s="46" t="s">
        <v>240</v>
      </c>
      <c r="B16" s="33"/>
      <c r="C16" s="33"/>
      <c r="D16" s="33"/>
      <c r="E16" s="33"/>
      <c r="F16" s="33"/>
      <c r="G16" s="33"/>
      <c r="H16" s="33"/>
    </row>
  </sheetData>
  <mergeCells count="2">
    <mergeCell ref="A9:H9"/>
    <mergeCell ref="A1:H1"/>
  </mergeCells>
  <hyperlinks>
    <hyperlink ref="A12" r:id="rId1" xr:uid="{00000000-0004-0000-3D00-000000000000}"/>
    <hyperlink ref="A14" location="'Technical specifications'!A1" display="Technical specifications" xr:uid="{00000000-0004-0000-3D00-000001000000}"/>
    <hyperlink ref="A16" location="Contents!A1" display="Back to contents" xr:uid="{00000000-0004-0000-3D00-000002000000}"/>
  </hyperlinks>
  <pageMargins left="0.75" right="0.75" top="1" bottom="1" header="0.5" footer="0.5"/>
  <ignoredErrors>
    <ignoredError sqref="D2:F2" numberStoredAsText="1"/>
  </ignoredError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L27"/>
  <sheetViews>
    <sheetView workbookViewId="0">
      <selection sqref="A1:L1"/>
    </sheetView>
  </sheetViews>
  <sheetFormatPr defaultRowHeight="15" x14ac:dyDescent="0.25"/>
  <cols>
    <col min="1" max="1" width="17" customWidth="1"/>
    <col min="2" max="2" width="16" customWidth="1"/>
    <col min="3" max="3" width="32" customWidth="1"/>
    <col min="4" max="12" width="8.42578125" customWidth="1"/>
  </cols>
  <sheetData>
    <row r="1" spans="1:12" ht="33.75" customHeight="1" x14ac:dyDescent="0.25">
      <c r="A1" s="74" t="s">
        <v>62</v>
      </c>
      <c r="B1" s="75"/>
      <c r="C1" s="75"/>
      <c r="D1" s="75"/>
      <c r="E1" s="75"/>
      <c r="F1" s="75"/>
      <c r="G1" s="75"/>
      <c r="H1" s="75"/>
      <c r="I1" s="75"/>
      <c r="J1" s="75"/>
      <c r="K1" s="75"/>
      <c r="L1" s="75"/>
    </row>
    <row r="2" spans="1:12" x14ac:dyDescent="0.25">
      <c r="A2" s="34" t="s">
        <v>214</v>
      </c>
      <c r="B2" s="34" t="s">
        <v>547</v>
      </c>
      <c r="C2" s="34" t="s">
        <v>242</v>
      </c>
      <c r="D2" s="35" t="s">
        <v>338</v>
      </c>
      <c r="E2" s="35" t="s">
        <v>339</v>
      </c>
      <c r="F2" s="35" t="s">
        <v>340</v>
      </c>
      <c r="G2" s="35" t="s">
        <v>341</v>
      </c>
      <c r="H2" s="35" t="s">
        <v>342</v>
      </c>
      <c r="I2" s="35" t="s">
        <v>343</v>
      </c>
      <c r="J2" s="35" t="s">
        <v>344</v>
      </c>
      <c r="K2" s="35" t="s">
        <v>345</v>
      </c>
      <c r="L2" s="35" t="s">
        <v>235</v>
      </c>
    </row>
    <row r="3" spans="1:12" x14ac:dyDescent="0.25">
      <c r="A3" s="36" t="s">
        <v>224</v>
      </c>
      <c r="B3" s="36" t="s">
        <v>548</v>
      </c>
      <c r="C3" s="36" t="s">
        <v>349</v>
      </c>
      <c r="D3" s="37">
        <v>3917</v>
      </c>
      <c r="E3" s="37">
        <v>384</v>
      </c>
      <c r="F3" s="37">
        <v>8535</v>
      </c>
      <c r="G3" s="37">
        <v>2251</v>
      </c>
      <c r="H3" s="37">
        <v>2927</v>
      </c>
      <c r="I3" s="37">
        <v>1278</v>
      </c>
      <c r="J3" s="37">
        <v>221</v>
      </c>
      <c r="K3" s="37">
        <v>80</v>
      </c>
      <c r="L3" s="37">
        <v>19593</v>
      </c>
    </row>
    <row r="4" spans="1:12" x14ac:dyDescent="0.25">
      <c r="A4" s="36" t="s">
        <v>224</v>
      </c>
      <c r="B4" s="36" t="s">
        <v>548</v>
      </c>
      <c r="C4" s="36" t="s">
        <v>353</v>
      </c>
      <c r="D4" s="38">
        <v>0.47554974480000001</v>
      </c>
      <c r="E4" s="38">
        <v>5.69271108E-2</v>
      </c>
      <c r="F4" s="38">
        <v>1.5327087895</v>
      </c>
      <c r="G4" s="38">
        <v>0.70748447390000002</v>
      </c>
      <c r="H4" s="38">
        <v>1.5805518798</v>
      </c>
      <c r="I4" s="38">
        <v>1.8180973799</v>
      </c>
      <c r="J4" s="38">
        <v>0.45551634819999998</v>
      </c>
      <c r="K4" s="38">
        <v>0.31135064420000003</v>
      </c>
      <c r="L4" s="38">
        <v>0.71086216739999997</v>
      </c>
    </row>
    <row r="5" spans="1:12" x14ac:dyDescent="0.25">
      <c r="A5" s="36" t="s">
        <v>224</v>
      </c>
      <c r="B5" s="36" t="s">
        <v>552</v>
      </c>
      <c r="C5" s="36" t="s">
        <v>349</v>
      </c>
      <c r="D5" s="37">
        <v>37059</v>
      </c>
      <c r="E5" s="37">
        <v>28183</v>
      </c>
      <c r="F5" s="37">
        <v>23399</v>
      </c>
      <c r="G5" s="37">
        <v>14616</v>
      </c>
      <c r="H5" s="37">
        <v>12083</v>
      </c>
      <c r="I5" s="37">
        <v>3630</v>
      </c>
      <c r="J5" s="37">
        <v>3159</v>
      </c>
      <c r="K5" s="37">
        <v>1352</v>
      </c>
      <c r="L5" s="37">
        <v>123481</v>
      </c>
    </row>
    <row r="6" spans="1:12" x14ac:dyDescent="0.25">
      <c r="A6" s="36" t="s">
        <v>224</v>
      </c>
      <c r="B6" s="36" t="s">
        <v>552</v>
      </c>
      <c r="C6" s="36" t="s">
        <v>353</v>
      </c>
      <c r="D6" s="38">
        <v>4.4558113546999998</v>
      </c>
      <c r="E6" s="38">
        <v>4.065497895</v>
      </c>
      <c r="F6" s="38">
        <v>4.313129634</v>
      </c>
      <c r="G6" s="38">
        <v>4.9783072174000003</v>
      </c>
      <c r="H6" s="38">
        <v>6.7013968120999996</v>
      </c>
      <c r="I6" s="38">
        <v>6.6900133254999998</v>
      </c>
      <c r="J6" s="38">
        <v>6.4007060118999997</v>
      </c>
      <c r="K6" s="38">
        <v>4.9585630280000004</v>
      </c>
      <c r="L6" s="38">
        <v>4.6152353956000001</v>
      </c>
    </row>
    <row r="7" spans="1:12" x14ac:dyDescent="0.25">
      <c r="A7" s="39" t="s">
        <v>224</v>
      </c>
      <c r="B7" s="39" t="s">
        <v>553</v>
      </c>
      <c r="C7" s="39" t="s">
        <v>349</v>
      </c>
      <c r="D7" s="40">
        <v>40976</v>
      </c>
      <c r="E7" s="40">
        <v>28567</v>
      </c>
      <c r="F7" s="40">
        <v>31934</v>
      </c>
      <c r="G7" s="40">
        <v>16867</v>
      </c>
      <c r="H7" s="40">
        <v>15010</v>
      </c>
      <c r="I7" s="40">
        <v>4908</v>
      </c>
      <c r="J7" s="40">
        <v>3380</v>
      </c>
      <c r="K7" s="40">
        <v>1432</v>
      </c>
      <c r="L7" s="40">
        <v>143074</v>
      </c>
    </row>
    <row r="8" spans="1:12" x14ac:dyDescent="0.25">
      <c r="A8" s="39" t="s">
        <v>224</v>
      </c>
      <c r="B8" s="39" t="s">
        <v>553</v>
      </c>
      <c r="C8" s="39" t="s">
        <v>353</v>
      </c>
      <c r="D8" s="41">
        <v>4.9313610995000001</v>
      </c>
      <c r="E8" s="41">
        <v>4.1224250058000003</v>
      </c>
      <c r="F8" s="41">
        <v>5.8458384235</v>
      </c>
      <c r="G8" s="41">
        <v>5.6857916913000004</v>
      </c>
      <c r="H8" s="41">
        <v>8.2819486920000003</v>
      </c>
      <c r="I8" s="41">
        <v>8.5081107053</v>
      </c>
      <c r="J8" s="41">
        <v>6.8562223600000003</v>
      </c>
      <c r="K8" s="41">
        <v>5.2699136722000004</v>
      </c>
      <c r="L8" s="41">
        <v>5.3260975630000003</v>
      </c>
    </row>
    <row r="9" spans="1:12" x14ac:dyDescent="0.25">
      <c r="A9" s="36" t="s">
        <v>237</v>
      </c>
      <c r="B9" s="36" t="s">
        <v>548</v>
      </c>
      <c r="C9" s="36" t="s">
        <v>349</v>
      </c>
      <c r="D9" s="37">
        <v>71211</v>
      </c>
      <c r="E9" s="37">
        <v>19623</v>
      </c>
      <c r="F9" s="37">
        <v>68776</v>
      </c>
      <c r="G9" s="37">
        <v>5388</v>
      </c>
      <c r="H9" s="37">
        <v>587</v>
      </c>
      <c r="I9" s="38" t="s">
        <v>608</v>
      </c>
      <c r="J9" s="58" t="s">
        <v>447</v>
      </c>
      <c r="K9" s="38" t="s">
        <v>608</v>
      </c>
      <c r="L9" s="37">
        <v>170108</v>
      </c>
    </row>
    <row r="10" spans="1:12" x14ac:dyDescent="0.25">
      <c r="A10" s="36" t="s">
        <v>237</v>
      </c>
      <c r="B10" s="36" t="s">
        <v>548</v>
      </c>
      <c r="C10" s="36" t="s">
        <v>353</v>
      </c>
      <c r="D10" s="38">
        <v>8.3909502954999997</v>
      </c>
      <c r="E10" s="38">
        <v>2.8358953438999999</v>
      </c>
      <c r="F10" s="38">
        <v>11.734452154</v>
      </c>
      <c r="G10" s="38">
        <v>1.8882865837</v>
      </c>
      <c r="H10" s="38">
        <v>0.28343046890000001</v>
      </c>
      <c r="I10" s="38" t="s">
        <v>608</v>
      </c>
      <c r="J10" s="58" t="s">
        <v>447</v>
      </c>
      <c r="K10" s="38" t="s">
        <v>608</v>
      </c>
      <c r="L10" s="38">
        <v>6.1128240245000001</v>
      </c>
    </row>
    <row r="11" spans="1:12" x14ac:dyDescent="0.25">
      <c r="A11" s="36" t="s">
        <v>237</v>
      </c>
      <c r="B11" s="36" t="s">
        <v>552</v>
      </c>
      <c r="C11" s="36" t="s">
        <v>349</v>
      </c>
      <c r="D11" s="37">
        <v>15722</v>
      </c>
      <c r="E11" s="37">
        <v>11175</v>
      </c>
      <c r="F11" s="37">
        <v>12976</v>
      </c>
      <c r="G11" s="37">
        <v>3663</v>
      </c>
      <c r="H11" s="37">
        <v>931</v>
      </c>
      <c r="I11" s="38" t="s">
        <v>608</v>
      </c>
      <c r="J11" s="58" t="s">
        <v>447</v>
      </c>
      <c r="K11" s="38" t="s">
        <v>608</v>
      </c>
      <c r="L11" s="37">
        <v>45213</v>
      </c>
    </row>
    <row r="12" spans="1:12" x14ac:dyDescent="0.25">
      <c r="A12" s="36" t="s">
        <v>237</v>
      </c>
      <c r="B12" s="36" t="s">
        <v>552</v>
      </c>
      <c r="C12" s="36" t="s">
        <v>353</v>
      </c>
      <c r="D12" s="38">
        <v>1.8647693107000001</v>
      </c>
      <c r="E12" s="38">
        <v>1.6304664539</v>
      </c>
      <c r="F12" s="38">
        <v>2.2892109073000002</v>
      </c>
      <c r="G12" s="38">
        <v>1.2250140937</v>
      </c>
      <c r="H12" s="38">
        <v>0.46099580559999997</v>
      </c>
      <c r="I12" s="38" t="s">
        <v>608</v>
      </c>
      <c r="J12" s="58" t="s">
        <v>447</v>
      </c>
      <c r="K12" s="38" t="s">
        <v>608</v>
      </c>
      <c r="L12" s="38">
        <v>1.6619806747999999</v>
      </c>
    </row>
    <row r="13" spans="1:12" x14ac:dyDescent="0.25">
      <c r="A13" s="39" t="s">
        <v>237</v>
      </c>
      <c r="B13" s="39" t="s">
        <v>553</v>
      </c>
      <c r="C13" s="39" t="s">
        <v>349</v>
      </c>
      <c r="D13" s="40">
        <v>86933</v>
      </c>
      <c r="E13" s="40">
        <v>30798</v>
      </c>
      <c r="F13" s="40">
        <v>81752</v>
      </c>
      <c r="G13" s="40">
        <v>9051</v>
      </c>
      <c r="H13" s="40">
        <v>1518</v>
      </c>
      <c r="I13" s="57" t="s">
        <v>608</v>
      </c>
      <c r="J13" s="57" t="s">
        <v>447</v>
      </c>
      <c r="K13" s="57" t="s">
        <v>608</v>
      </c>
      <c r="L13" s="40">
        <v>215321</v>
      </c>
    </row>
    <row r="14" spans="1:12" x14ac:dyDescent="0.25">
      <c r="A14" s="39" t="s">
        <v>237</v>
      </c>
      <c r="B14" s="39" t="s">
        <v>553</v>
      </c>
      <c r="C14" s="39" t="s">
        <v>353</v>
      </c>
      <c r="D14" s="41">
        <v>10.255719606</v>
      </c>
      <c r="E14" s="41">
        <v>4.4663617979000003</v>
      </c>
      <c r="F14" s="41">
        <v>14.023663061000001</v>
      </c>
      <c r="G14" s="41">
        <v>3.1133006773999998</v>
      </c>
      <c r="H14" s="41">
        <v>0.74442627449999998</v>
      </c>
      <c r="I14" s="57" t="s">
        <v>608</v>
      </c>
      <c r="J14" s="57" t="s">
        <v>447</v>
      </c>
      <c r="K14" s="57" t="s">
        <v>608</v>
      </c>
      <c r="L14" s="41">
        <v>7.7748046992999997</v>
      </c>
    </row>
    <row r="15" spans="1:12" x14ac:dyDescent="0.25">
      <c r="A15" s="36" t="s">
        <v>238</v>
      </c>
      <c r="B15" s="36" t="s">
        <v>548</v>
      </c>
      <c r="C15" s="36" t="s">
        <v>349</v>
      </c>
      <c r="D15" s="37">
        <v>75128</v>
      </c>
      <c r="E15" s="37">
        <v>20007</v>
      </c>
      <c r="F15" s="37">
        <v>77311</v>
      </c>
      <c r="G15" s="37">
        <v>7639</v>
      </c>
      <c r="H15" s="37">
        <v>3514</v>
      </c>
      <c r="I15" s="38" t="s">
        <v>608</v>
      </c>
      <c r="J15" s="58" t="s">
        <v>447</v>
      </c>
      <c r="K15" s="38" t="s">
        <v>608</v>
      </c>
      <c r="L15" s="37">
        <v>189701</v>
      </c>
    </row>
    <row r="16" spans="1:12" x14ac:dyDescent="0.25">
      <c r="A16" s="36" t="s">
        <v>238</v>
      </c>
      <c r="B16" s="36" t="s">
        <v>548</v>
      </c>
      <c r="C16" s="36" t="s">
        <v>353</v>
      </c>
      <c r="D16" s="38">
        <v>8.8665000403000001</v>
      </c>
      <c r="E16" s="38">
        <v>2.8928224547000001</v>
      </c>
      <c r="F16" s="38">
        <v>13.267160943</v>
      </c>
      <c r="G16" s="38">
        <v>2.5957710575999999</v>
      </c>
      <c r="H16" s="38">
        <v>1.8639823487</v>
      </c>
      <c r="I16" s="38" t="s">
        <v>608</v>
      </c>
      <c r="J16" s="58" t="s">
        <v>447</v>
      </c>
      <c r="K16" s="38" t="s">
        <v>608</v>
      </c>
      <c r="L16" s="38">
        <v>6.8236861919000003</v>
      </c>
    </row>
    <row r="17" spans="1:12" x14ac:dyDescent="0.25">
      <c r="A17" s="36" t="s">
        <v>238</v>
      </c>
      <c r="B17" s="36" t="s">
        <v>552</v>
      </c>
      <c r="C17" s="36" t="s">
        <v>349</v>
      </c>
      <c r="D17" s="37">
        <v>52781</v>
      </c>
      <c r="E17" s="37">
        <v>39358</v>
      </c>
      <c r="F17" s="37">
        <v>36375</v>
      </c>
      <c r="G17" s="37">
        <v>18279</v>
      </c>
      <c r="H17" s="37">
        <v>13014</v>
      </c>
      <c r="I17" s="38" t="s">
        <v>608</v>
      </c>
      <c r="J17" s="58" t="s">
        <v>447</v>
      </c>
      <c r="K17" s="38" t="s">
        <v>608</v>
      </c>
      <c r="L17" s="37">
        <v>168694</v>
      </c>
    </row>
    <row r="18" spans="1:12" x14ac:dyDescent="0.25">
      <c r="A18" s="36" t="s">
        <v>238</v>
      </c>
      <c r="B18" s="36" t="s">
        <v>552</v>
      </c>
      <c r="C18" s="36" t="s">
        <v>353</v>
      </c>
      <c r="D18" s="38">
        <v>6.3205806653999996</v>
      </c>
      <c r="E18" s="38">
        <v>5.6959643489999996</v>
      </c>
      <c r="F18" s="38">
        <v>6.6023405412000002</v>
      </c>
      <c r="G18" s="38">
        <v>6.2033213110999998</v>
      </c>
      <c r="H18" s="38">
        <v>7.1623926177000001</v>
      </c>
      <c r="I18" s="38" t="s">
        <v>608</v>
      </c>
      <c r="J18" s="58" t="s">
        <v>447</v>
      </c>
      <c r="K18" s="38" t="s">
        <v>608</v>
      </c>
      <c r="L18" s="38">
        <v>6.2772160702999997</v>
      </c>
    </row>
    <row r="19" spans="1:12" x14ac:dyDescent="0.25">
      <c r="A19" s="39" t="s">
        <v>238</v>
      </c>
      <c r="B19" s="39" t="s">
        <v>553</v>
      </c>
      <c r="C19" s="39" t="s">
        <v>349</v>
      </c>
      <c r="D19" s="40">
        <v>127909</v>
      </c>
      <c r="E19" s="40">
        <v>59365</v>
      </c>
      <c r="F19" s="40">
        <v>113686</v>
      </c>
      <c r="G19" s="40">
        <v>25918</v>
      </c>
      <c r="H19" s="40">
        <v>16528</v>
      </c>
      <c r="I19" s="57" t="s">
        <v>608</v>
      </c>
      <c r="J19" s="57" t="s">
        <v>447</v>
      </c>
      <c r="K19" s="57" t="s">
        <v>608</v>
      </c>
      <c r="L19" s="40">
        <v>358395</v>
      </c>
    </row>
    <row r="20" spans="1:12" ht="15.75" thickBot="1" x14ac:dyDescent="0.3">
      <c r="A20" s="50" t="s">
        <v>238</v>
      </c>
      <c r="B20" s="50" t="s">
        <v>553</v>
      </c>
      <c r="C20" s="50" t="s">
        <v>353</v>
      </c>
      <c r="D20" s="51">
        <v>15.187080706</v>
      </c>
      <c r="E20" s="51">
        <v>8.5887868036999997</v>
      </c>
      <c r="F20" s="51">
        <v>19.869501484000001</v>
      </c>
      <c r="G20" s="51">
        <v>8.7990923687000002</v>
      </c>
      <c r="H20" s="51">
        <v>9.0263749664000006</v>
      </c>
      <c r="I20" s="71" t="s">
        <v>608</v>
      </c>
      <c r="J20" s="71" t="s">
        <v>447</v>
      </c>
      <c r="K20" s="71" t="s">
        <v>608</v>
      </c>
      <c r="L20" s="51">
        <v>13.100902262</v>
      </c>
    </row>
    <row r="21" spans="1:12" x14ac:dyDescent="0.25">
      <c r="A21" s="45"/>
      <c r="B21" s="33"/>
      <c r="C21" s="33"/>
      <c r="D21" s="33"/>
      <c r="E21" s="33"/>
      <c r="F21" s="33"/>
      <c r="G21" s="33"/>
      <c r="H21" s="33"/>
      <c r="I21" s="33"/>
      <c r="J21" s="33"/>
      <c r="K21" s="33"/>
      <c r="L21" s="33"/>
    </row>
    <row r="22" spans="1:12" x14ac:dyDescent="0.25">
      <c r="A22" s="33" t="s">
        <v>239</v>
      </c>
      <c r="B22" s="33"/>
      <c r="C22" s="33"/>
      <c r="D22" s="33"/>
      <c r="E22" s="33"/>
      <c r="F22" s="33"/>
      <c r="G22" s="33"/>
      <c r="H22" s="33"/>
      <c r="I22" s="33"/>
      <c r="J22" s="33"/>
      <c r="K22" s="33"/>
      <c r="L22" s="33"/>
    </row>
    <row r="23" spans="1:12" x14ac:dyDescent="0.25">
      <c r="A23" s="46" t="s">
        <v>212</v>
      </c>
      <c r="B23" s="33"/>
      <c r="C23" s="33"/>
      <c r="D23" s="33"/>
      <c r="E23" s="33"/>
      <c r="F23" s="33"/>
      <c r="G23" s="33"/>
      <c r="H23" s="33"/>
      <c r="I23" s="33"/>
      <c r="J23" s="33"/>
      <c r="K23" s="33"/>
      <c r="L23" s="33"/>
    </row>
    <row r="24" spans="1:12" x14ac:dyDescent="0.25">
      <c r="A24" s="33"/>
      <c r="B24" s="33"/>
      <c r="C24" s="33"/>
      <c r="D24" s="33"/>
      <c r="E24" s="33"/>
      <c r="F24" s="33"/>
      <c r="G24" s="33"/>
      <c r="H24" s="33"/>
      <c r="I24" s="33"/>
      <c r="J24" s="33"/>
      <c r="K24" s="33"/>
      <c r="L24" s="33"/>
    </row>
    <row r="25" spans="1:12" x14ac:dyDescent="0.25">
      <c r="A25" s="46" t="s">
        <v>70</v>
      </c>
      <c r="B25" s="33"/>
      <c r="C25" s="33"/>
      <c r="D25" s="33"/>
      <c r="E25" s="33"/>
      <c r="F25" s="33"/>
      <c r="G25" s="33"/>
      <c r="H25" s="33"/>
      <c r="I25" s="33"/>
      <c r="J25" s="33"/>
      <c r="K25" s="33"/>
      <c r="L25" s="33"/>
    </row>
    <row r="26" spans="1:12" x14ac:dyDescent="0.25">
      <c r="A26" s="33"/>
      <c r="B26" s="33"/>
      <c r="C26" s="33"/>
      <c r="D26" s="33"/>
      <c r="E26" s="33"/>
      <c r="F26" s="33"/>
      <c r="G26" s="33"/>
      <c r="H26" s="33"/>
      <c r="I26" s="33"/>
      <c r="J26" s="33"/>
      <c r="K26" s="33"/>
      <c r="L26" s="33"/>
    </row>
    <row r="27" spans="1:12" x14ac:dyDescent="0.25">
      <c r="A27" s="46" t="s">
        <v>240</v>
      </c>
      <c r="B27" s="33"/>
      <c r="C27" s="33"/>
      <c r="D27" s="33"/>
      <c r="E27" s="33"/>
      <c r="F27" s="33"/>
      <c r="G27" s="33"/>
      <c r="H27" s="33"/>
      <c r="I27" s="33"/>
      <c r="J27" s="33"/>
      <c r="K27" s="33"/>
      <c r="L27" s="33"/>
    </row>
  </sheetData>
  <mergeCells count="1">
    <mergeCell ref="A1:L1"/>
  </mergeCells>
  <hyperlinks>
    <hyperlink ref="A23" r:id="rId1" xr:uid="{00000000-0004-0000-3E00-000000000000}"/>
    <hyperlink ref="A25" location="'Technical specifications'!A1" display="Technical specifications" xr:uid="{00000000-0004-0000-3E00-000001000000}"/>
    <hyperlink ref="A27" location="Contents!A1" display="Back to contents" xr:uid="{00000000-0004-0000-3E00-000002000000}"/>
  </hyperlink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K21"/>
  <sheetViews>
    <sheetView workbookViewId="0">
      <selection sqref="A1:K1"/>
    </sheetView>
  </sheetViews>
  <sheetFormatPr defaultRowHeight="15" x14ac:dyDescent="0.25"/>
  <cols>
    <col min="1" max="2" width="30" customWidth="1"/>
    <col min="3" max="11" width="8.42578125" customWidth="1"/>
  </cols>
  <sheetData>
    <row r="1" spans="1:11" ht="33.75" customHeight="1" x14ac:dyDescent="0.25">
      <c r="A1" s="74" t="s">
        <v>63</v>
      </c>
      <c r="B1" s="75"/>
      <c r="C1" s="75"/>
      <c r="D1" s="75"/>
      <c r="E1" s="75"/>
      <c r="F1" s="75"/>
      <c r="G1" s="75"/>
      <c r="H1" s="75"/>
      <c r="I1" s="75"/>
      <c r="J1" s="75"/>
      <c r="K1" s="75"/>
    </row>
    <row r="2" spans="1:11" x14ac:dyDescent="0.25">
      <c r="A2" s="34" t="s">
        <v>347</v>
      </c>
      <c r="B2" s="34" t="s">
        <v>242</v>
      </c>
      <c r="C2" s="35" t="s">
        <v>338</v>
      </c>
      <c r="D2" s="35" t="s">
        <v>339</v>
      </c>
      <c r="E2" s="35" t="s">
        <v>340</v>
      </c>
      <c r="F2" s="35" t="s">
        <v>341</v>
      </c>
      <c r="G2" s="35" t="s">
        <v>342</v>
      </c>
      <c r="H2" s="64" t="s">
        <v>343</v>
      </c>
      <c r="I2" s="64" t="s">
        <v>344</v>
      </c>
      <c r="J2" s="64" t="s">
        <v>345</v>
      </c>
      <c r="K2" s="35" t="s">
        <v>235</v>
      </c>
    </row>
    <row r="3" spans="1:11" x14ac:dyDescent="0.25">
      <c r="A3" s="36" t="s">
        <v>348</v>
      </c>
      <c r="B3" s="36" t="s">
        <v>349</v>
      </c>
      <c r="C3" s="37">
        <v>7512</v>
      </c>
      <c r="D3" s="37">
        <v>2223</v>
      </c>
      <c r="E3" s="37">
        <v>6179</v>
      </c>
      <c r="F3" s="37">
        <v>1823</v>
      </c>
      <c r="G3" s="37">
        <v>1586</v>
      </c>
      <c r="H3" s="65" t="s">
        <v>608</v>
      </c>
      <c r="I3" s="65" t="s">
        <v>447</v>
      </c>
      <c r="J3" s="65" t="s">
        <v>608</v>
      </c>
      <c r="K3" s="37">
        <v>21128</v>
      </c>
    </row>
    <row r="4" spans="1:11" x14ac:dyDescent="0.25">
      <c r="A4" s="36" t="s">
        <v>350</v>
      </c>
      <c r="B4" s="36" t="s">
        <v>349</v>
      </c>
      <c r="C4" s="37">
        <v>116994</v>
      </c>
      <c r="D4" s="37">
        <v>56170</v>
      </c>
      <c r="E4" s="37">
        <v>100784</v>
      </c>
      <c r="F4" s="37">
        <v>24095</v>
      </c>
      <c r="G4" s="37">
        <v>14521</v>
      </c>
      <c r="H4" s="65" t="s">
        <v>608</v>
      </c>
      <c r="I4" s="65" t="s">
        <v>447</v>
      </c>
      <c r="J4" s="65" t="s">
        <v>608</v>
      </c>
      <c r="K4" s="37">
        <v>324477</v>
      </c>
    </row>
    <row r="5" spans="1:11" x14ac:dyDescent="0.25">
      <c r="A5" s="36" t="s">
        <v>351</v>
      </c>
      <c r="B5" s="36" t="s">
        <v>349</v>
      </c>
      <c r="C5" s="37">
        <v>3403</v>
      </c>
      <c r="D5" s="37">
        <v>972</v>
      </c>
      <c r="E5" s="37">
        <v>6723</v>
      </c>
      <c r="F5" s="37" t="s">
        <v>352</v>
      </c>
      <c r="G5" s="37">
        <v>421</v>
      </c>
      <c r="H5" s="65" t="s">
        <v>608</v>
      </c>
      <c r="I5" s="65" t="s">
        <v>447</v>
      </c>
      <c r="J5" s="65" t="s">
        <v>608</v>
      </c>
      <c r="K5" s="37">
        <v>12790</v>
      </c>
    </row>
    <row r="6" spans="1:11" x14ac:dyDescent="0.25">
      <c r="A6" s="36" t="s">
        <v>235</v>
      </c>
      <c r="B6" s="36" t="s">
        <v>349</v>
      </c>
      <c r="C6" s="37">
        <v>127909</v>
      </c>
      <c r="D6" s="37">
        <v>59365</v>
      </c>
      <c r="E6" s="37">
        <v>113686</v>
      </c>
      <c r="F6" s="37">
        <v>25918</v>
      </c>
      <c r="G6" s="37">
        <v>16528</v>
      </c>
      <c r="H6" s="65" t="s">
        <v>608</v>
      </c>
      <c r="I6" s="65" t="s">
        <v>447</v>
      </c>
      <c r="J6" s="65" t="s">
        <v>608</v>
      </c>
      <c r="K6" s="37">
        <v>358395</v>
      </c>
    </row>
    <row r="7" spans="1:11" x14ac:dyDescent="0.25">
      <c r="A7" s="36" t="s">
        <v>348</v>
      </c>
      <c r="B7" s="36" t="s">
        <v>353</v>
      </c>
      <c r="C7" s="38">
        <v>25.779696813000001</v>
      </c>
      <c r="D7" s="38">
        <v>31.497283301</v>
      </c>
      <c r="E7" s="38">
        <v>25.910933593999999</v>
      </c>
      <c r="F7" s="38">
        <v>15.425023188000001</v>
      </c>
      <c r="G7" s="38">
        <v>33.545729289000001</v>
      </c>
      <c r="H7" s="65" t="s">
        <v>608</v>
      </c>
      <c r="I7" s="65" t="s">
        <v>447</v>
      </c>
      <c r="J7" s="65" t="s">
        <v>608</v>
      </c>
      <c r="K7" s="38">
        <v>24.008264345000001</v>
      </c>
    </row>
    <row r="8" spans="1:11" x14ac:dyDescent="0.25">
      <c r="A8" s="36" t="s">
        <v>354</v>
      </c>
      <c r="B8" s="36" t="s">
        <v>353</v>
      </c>
      <c r="C8" s="38">
        <v>15.48771271</v>
      </c>
      <c r="D8" s="38">
        <v>8.6106951680999995</v>
      </c>
      <c r="E8" s="38">
        <v>20.925304772</v>
      </c>
      <c r="F8" s="38">
        <v>9.1142501694</v>
      </c>
      <c r="G8" s="38">
        <v>8.7150920606</v>
      </c>
      <c r="H8" s="65" t="s">
        <v>608</v>
      </c>
      <c r="I8" s="65" t="s">
        <v>447</v>
      </c>
      <c r="J8" s="65" t="s">
        <v>608</v>
      </c>
      <c r="K8" s="38">
        <v>13.416917649</v>
      </c>
    </row>
    <row r="9" spans="1:11" x14ac:dyDescent="0.25">
      <c r="A9" s="36" t="s">
        <v>355</v>
      </c>
      <c r="B9" s="36" t="s">
        <v>353</v>
      </c>
      <c r="C9" s="38">
        <v>15.479850487</v>
      </c>
      <c r="D9" s="38">
        <v>8.7557671133999992</v>
      </c>
      <c r="E9" s="38">
        <v>20.328681976999999</v>
      </c>
      <c r="F9" s="38">
        <v>9.1590571133999994</v>
      </c>
      <c r="G9" s="38">
        <v>9.197237887</v>
      </c>
      <c r="H9" s="65" t="s">
        <v>608</v>
      </c>
      <c r="I9" s="65" t="s">
        <v>447</v>
      </c>
      <c r="J9" s="65" t="s">
        <v>608</v>
      </c>
      <c r="K9" s="38">
        <v>13.387974899</v>
      </c>
    </row>
    <row r="10" spans="1:11" x14ac:dyDescent="0.25">
      <c r="A10" s="36" t="s">
        <v>348</v>
      </c>
      <c r="B10" s="36" t="s">
        <v>356</v>
      </c>
      <c r="C10" s="38">
        <v>5.1788681221999999</v>
      </c>
      <c r="D10" s="38">
        <v>4.4074786366999996</v>
      </c>
      <c r="E10" s="38">
        <v>2.9149801390999999</v>
      </c>
      <c r="F10" s="38">
        <v>1.5388121687</v>
      </c>
      <c r="G10" s="38">
        <v>3.8437303088000001</v>
      </c>
      <c r="H10" s="65" t="s">
        <v>608</v>
      </c>
      <c r="I10" s="65" t="s">
        <v>447</v>
      </c>
      <c r="J10" s="65" t="s">
        <v>608</v>
      </c>
      <c r="K10" s="38">
        <v>2.9520006482999999</v>
      </c>
    </row>
    <row r="11" spans="1:11" x14ac:dyDescent="0.25">
      <c r="A11" s="36" t="s">
        <v>350</v>
      </c>
      <c r="B11" s="36" t="s">
        <v>356</v>
      </c>
      <c r="C11" s="38">
        <v>3.5636177997999998</v>
      </c>
      <c r="D11" s="38">
        <v>1.7742593723</v>
      </c>
      <c r="E11" s="38">
        <v>3.5439243871000001</v>
      </c>
      <c r="F11" s="38">
        <v>2.0632230806999998</v>
      </c>
      <c r="G11" s="38">
        <v>1.7848231646999999</v>
      </c>
      <c r="H11" s="65" t="s">
        <v>608</v>
      </c>
      <c r="I11" s="65" t="s">
        <v>447</v>
      </c>
      <c r="J11" s="65" t="s">
        <v>608</v>
      </c>
      <c r="K11" s="38">
        <v>2.7609459696999998</v>
      </c>
    </row>
    <row r="12" spans="1:11" x14ac:dyDescent="0.25">
      <c r="A12" s="36" t="s">
        <v>351</v>
      </c>
      <c r="B12" s="36" t="s">
        <v>356</v>
      </c>
      <c r="C12" s="38">
        <v>3.2564904926999998</v>
      </c>
      <c r="D12" s="38">
        <v>1.915270936</v>
      </c>
      <c r="E12" s="38">
        <v>6.7942719124000002</v>
      </c>
      <c r="F12" s="38">
        <v>0</v>
      </c>
      <c r="G12" s="38">
        <v>1.1057414509000001</v>
      </c>
      <c r="H12" s="65" t="s">
        <v>608</v>
      </c>
      <c r="I12" s="65" t="s">
        <v>447</v>
      </c>
      <c r="J12" s="65" t="s">
        <v>608</v>
      </c>
      <c r="K12" s="38">
        <v>4.1445102252000003</v>
      </c>
    </row>
    <row r="13" spans="1:11" ht="15.75" thickBot="1" x14ac:dyDescent="0.3">
      <c r="A13" s="52" t="s">
        <v>235</v>
      </c>
      <c r="B13" s="52" t="s">
        <v>356</v>
      </c>
      <c r="C13" s="54">
        <v>3.6208564774999998</v>
      </c>
      <c r="D13" s="54">
        <v>1.8171021559</v>
      </c>
      <c r="E13" s="54">
        <v>3.6036133128999999</v>
      </c>
      <c r="F13" s="54">
        <v>2.0149249669999998</v>
      </c>
      <c r="G13" s="54">
        <v>1.8510098352</v>
      </c>
      <c r="H13" s="66" t="s">
        <v>608</v>
      </c>
      <c r="I13" s="66" t="s">
        <v>447</v>
      </c>
      <c r="J13" s="66" t="s">
        <v>608</v>
      </c>
      <c r="K13" s="54">
        <v>2.8050661578999998</v>
      </c>
    </row>
    <row r="14" spans="1:11" x14ac:dyDescent="0.25">
      <c r="A14" s="76" t="s">
        <v>440</v>
      </c>
      <c r="B14" s="77"/>
      <c r="C14" s="77"/>
      <c r="D14" s="77"/>
      <c r="E14" s="77"/>
      <c r="F14" s="77"/>
      <c r="G14" s="77"/>
      <c r="H14" s="77"/>
      <c r="I14" s="77"/>
      <c r="J14" s="77"/>
      <c r="K14" s="77"/>
    </row>
    <row r="15" spans="1:11" x14ac:dyDescent="0.25">
      <c r="A15" s="45"/>
      <c r="B15" s="33"/>
      <c r="C15" s="33"/>
      <c r="D15" s="33"/>
      <c r="E15" s="33"/>
      <c r="F15" s="33"/>
      <c r="G15" s="33"/>
      <c r="H15" s="33"/>
      <c r="I15" s="33"/>
      <c r="J15" s="33"/>
      <c r="K15" s="33"/>
    </row>
    <row r="16" spans="1:11" x14ac:dyDescent="0.25">
      <c r="A16" s="33" t="s">
        <v>239</v>
      </c>
      <c r="B16" s="33"/>
      <c r="C16" s="33"/>
      <c r="D16" s="33"/>
      <c r="E16" s="33"/>
      <c r="F16" s="33"/>
      <c r="G16" s="33"/>
      <c r="H16" s="33"/>
      <c r="I16" s="33"/>
      <c r="J16" s="33"/>
      <c r="K16" s="33"/>
    </row>
    <row r="17" spans="1:11" x14ac:dyDescent="0.25">
      <c r="A17" s="46" t="s">
        <v>212</v>
      </c>
      <c r="B17" s="33"/>
      <c r="C17" s="33"/>
      <c r="D17" s="33"/>
      <c r="E17" s="33"/>
      <c r="F17" s="33"/>
      <c r="G17" s="33"/>
      <c r="H17" s="33"/>
      <c r="I17" s="33"/>
      <c r="J17" s="33"/>
      <c r="K17" s="33"/>
    </row>
    <row r="18" spans="1:11" x14ac:dyDescent="0.25">
      <c r="A18" s="33"/>
      <c r="B18" s="33"/>
      <c r="C18" s="33"/>
      <c r="D18" s="33"/>
      <c r="E18" s="33"/>
      <c r="F18" s="33"/>
      <c r="G18" s="33"/>
      <c r="H18" s="33"/>
      <c r="I18" s="33"/>
      <c r="J18" s="33"/>
      <c r="K18" s="33"/>
    </row>
    <row r="19" spans="1:11" x14ac:dyDescent="0.25">
      <c r="A19" s="46" t="s">
        <v>70</v>
      </c>
      <c r="B19" s="33"/>
      <c r="C19" s="33"/>
      <c r="D19" s="33"/>
      <c r="E19" s="33"/>
      <c r="F19" s="33"/>
      <c r="G19" s="33"/>
      <c r="H19" s="33"/>
      <c r="I19" s="33"/>
      <c r="J19" s="33"/>
      <c r="K19" s="33"/>
    </row>
    <row r="20" spans="1:11" x14ac:dyDescent="0.25">
      <c r="A20" s="33"/>
      <c r="B20" s="33"/>
      <c r="C20" s="33"/>
      <c r="D20" s="33"/>
      <c r="E20" s="33"/>
      <c r="F20" s="33"/>
      <c r="G20" s="33"/>
      <c r="H20" s="33"/>
      <c r="I20" s="33"/>
      <c r="J20" s="33"/>
      <c r="K20" s="33"/>
    </row>
    <row r="21" spans="1:11" x14ac:dyDescent="0.25">
      <c r="A21" s="46" t="s">
        <v>240</v>
      </c>
      <c r="B21" s="33"/>
      <c r="C21" s="33"/>
      <c r="D21" s="33"/>
      <c r="E21" s="33"/>
      <c r="F21" s="33"/>
      <c r="G21" s="33"/>
      <c r="H21" s="33"/>
      <c r="I21" s="33"/>
      <c r="J21" s="33"/>
      <c r="K21" s="33"/>
    </row>
  </sheetData>
  <mergeCells count="2">
    <mergeCell ref="A14:K14"/>
    <mergeCell ref="A1:K1"/>
  </mergeCells>
  <hyperlinks>
    <hyperlink ref="A17" r:id="rId1" xr:uid="{00000000-0004-0000-3F00-000000000000}"/>
    <hyperlink ref="A19" location="'Technical specifications'!A1" display="Technical specifications" xr:uid="{00000000-0004-0000-3F00-000001000000}"/>
    <hyperlink ref="A21" location="Contents!A1" display="Back to contents" xr:uid="{00000000-0004-0000-3F00-000002000000}"/>
  </hyperlink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H16"/>
  <sheetViews>
    <sheetView workbookViewId="0">
      <selection sqref="A1:H1"/>
    </sheetView>
  </sheetViews>
  <sheetFormatPr defaultRowHeight="15" x14ac:dyDescent="0.25"/>
  <cols>
    <col min="1" max="1" width="17" customWidth="1"/>
    <col min="2" max="2" width="25" customWidth="1"/>
    <col min="3" max="8" width="16.5703125" customWidth="1"/>
  </cols>
  <sheetData>
    <row r="1" spans="1:8" ht="33.75" customHeight="1" x14ac:dyDescent="0.25">
      <c r="A1" s="74" t="s">
        <v>64</v>
      </c>
      <c r="B1" s="75"/>
      <c r="C1" s="75"/>
      <c r="D1" s="75"/>
      <c r="E1" s="75"/>
      <c r="F1" s="75"/>
      <c r="G1" s="75"/>
      <c r="H1" s="75"/>
    </row>
    <row r="2" spans="1:8" x14ac:dyDescent="0.25">
      <c r="A2" s="34" t="s">
        <v>214</v>
      </c>
      <c r="B2" s="34" t="s">
        <v>242</v>
      </c>
      <c r="C2" s="35" t="s">
        <v>441</v>
      </c>
      <c r="D2" s="35" t="s">
        <v>442</v>
      </c>
      <c r="E2" s="35" t="s">
        <v>443</v>
      </c>
      <c r="F2" s="35" t="s">
        <v>444</v>
      </c>
      <c r="G2" s="35" t="s">
        <v>445</v>
      </c>
      <c r="H2" s="35" t="s">
        <v>235</v>
      </c>
    </row>
    <row r="3" spans="1:8" x14ac:dyDescent="0.25">
      <c r="A3" s="36" t="s">
        <v>224</v>
      </c>
      <c r="B3" s="36" t="s">
        <v>349</v>
      </c>
      <c r="C3" s="37">
        <v>96969</v>
      </c>
      <c r="D3" s="37">
        <v>24306</v>
      </c>
      <c r="E3" s="37">
        <v>10626</v>
      </c>
      <c r="F3" s="37">
        <v>2032</v>
      </c>
      <c r="G3" s="37">
        <v>1021</v>
      </c>
      <c r="H3" s="37">
        <v>143074</v>
      </c>
    </row>
    <row r="4" spans="1:8" x14ac:dyDescent="0.25">
      <c r="A4" s="36" t="s">
        <v>224</v>
      </c>
      <c r="B4" s="36" t="s">
        <v>353</v>
      </c>
      <c r="C4" s="38">
        <v>4.8565574664</v>
      </c>
      <c r="D4" s="38">
        <v>5.6833296483</v>
      </c>
      <c r="E4" s="38">
        <v>5.4029521396</v>
      </c>
      <c r="F4" s="38">
        <v>7.0874015253999998</v>
      </c>
      <c r="G4" s="38">
        <v>5.2718614662999999</v>
      </c>
      <c r="H4" s="38">
        <v>5.3278634716999997</v>
      </c>
    </row>
    <row r="5" spans="1:8" x14ac:dyDescent="0.25">
      <c r="A5" s="36" t="s">
        <v>224</v>
      </c>
      <c r="B5" s="36" t="s">
        <v>446</v>
      </c>
      <c r="C5" s="38">
        <f>C4/$H4</f>
        <v>0.91153939889724378</v>
      </c>
      <c r="D5" s="38">
        <f t="shared" ref="D5:G5" si="0">D4/$H4</f>
        <v>1.0667183343732678</v>
      </c>
      <c r="E5" s="38">
        <f t="shared" si="0"/>
        <v>1.01409357959318</v>
      </c>
      <c r="F5" s="38">
        <f t="shared" si="0"/>
        <v>1.3302520913019138</v>
      </c>
      <c r="G5" s="38">
        <f t="shared" si="0"/>
        <v>0.98948884375557566</v>
      </c>
      <c r="H5" s="65" t="s">
        <v>352</v>
      </c>
    </row>
    <row r="6" spans="1:8" x14ac:dyDescent="0.25">
      <c r="A6" s="36" t="s">
        <v>237</v>
      </c>
      <c r="B6" s="36" t="s">
        <v>349</v>
      </c>
      <c r="C6" s="37">
        <v>182686</v>
      </c>
      <c r="D6" s="37">
        <v>23412</v>
      </c>
      <c r="E6" s="37">
        <v>8006</v>
      </c>
      <c r="F6" s="37">
        <v>357</v>
      </c>
      <c r="G6" s="37">
        <v>93</v>
      </c>
      <c r="H6" s="37">
        <v>215321</v>
      </c>
    </row>
    <row r="7" spans="1:8" x14ac:dyDescent="0.25">
      <c r="A7" s="36" t="s">
        <v>237</v>
      </c>
      <c r="B7" s="36" t="s">
        <v>353</v>
      </c>
      <c r="C7" s="38">
        <v>9.0134744782999991</v>
      </c>
      <c r="D7" s="38">
        <v>4.9736040399999997</v>
      </c>
      <c r="E7" s="38">
        <v>3.8684596710000001</v>
      </c>
      <c r="F7" s="38">
        <v>1.2489564137</v>
      </c>
      <c r="G7" s="38">
        <v>0.50108690450000004</v>
      </c>
      <c r="H7" s="38">
        <v>7.7771373111999997</v>
      </c>
    </row>
    <row r="8" spans="1:8" ht="15.75" thickBot="1" x14ac:dyDescent="0.3">
      <c r="A8" s="52" t="s">
        <v>237</v>
      </c>
      <c r="B8" s="52" t="s">
        <v>446</v>
      </c>
      <c r="C8" s="60">
        <f>C7/$H7</f>
        <v>1.158970726326193</v>
      </c>
      <c r="D8" s="60">
        <f t="shared" ref="D8:G8" si="1">D7/$H7</f>
        <v>0.63951603796906353</v>
      </c>
      <c r="E8" s="60">
        <f t="shared" si="1"/>
        <v>0.49741434620537811</v>
      </c>
      <c r="F8" s="60">
        <f t="shared" si="1"/>
        <v>0.16059333450386104</v>
      </c>
      <c r="G8" s="60">
        <f t="shared" si="1"/>
        <v>6.4430764746608693E-2</v>
      </c>
      <c r="H8" s="73" t="s">
        <v>352</v>
      </c>
    </row>
    <row r="9" spans="1:8" x14ac:dyDescent="0.25">
      <c r="A9" s="76" t="s">
        <v>594</v>
      </c>
      <c r="B9" s="77"/>
      <c r="C9" s="77"/>
      <c r="D9" s="77"/>
      <c r="E9" s="77"/>
      <c r="F9" s="77"/>
      <c r="G9" s="77"/>
      <c r="H9" s="77"/>
    </row>
    <row r="10" spans="1:8" x14ac:dyDescent="0.25">
      <c r="A10" s="45"/>
      <c r="B10" s="33"/>
      <c r="C10" s="33"/>
      <c r="D10" s="33"/>
      <c r="E10" s="33"/>
      <c r="F10" s="33"/>
      <c r="G10" s="33"/>
      <c r="H10" s="33"/>
    </row>
    <row r="11" spans="1:8" x14ac:dyDescent="0.25">
      <c r="A11" s="33" t="s">
        <v>239</v>
      </c>
      <c r="B11" s="33"/>
      <c r="C11" s="33"/>
      <c r="D11" s="33"/>
      <c r="E11" s="33"/>
      <c r="F11" s="33"/>
      <c r="G11" s="33"/>
      <c r="H11" s="33"/>
    </row>
    <row r="12" spans="1:8" x14ac:dyDescent="0.25">
      <c r="A12" s="46" t="s">
        <v>212</v>
      </c>
      <c r="B12" s="33"/>
      <c r="C12" s="33"/>
      <c r="D12" s="33"/>
      <c r="E12" s="33"/>
      <c r="F12" s="33"/>
      <c r="G12" s="33"/>
      <c r="H12" s="33"/>
    </row>
    <row r="13" spans="1:8" x14ac:dyDescent="0.25">
      <c r="A13" s="33"/>
      <c r="B13" s="33"/>
      <c r="C13" s="33"/>
      <c r="D13" s="33"/>
      <c r="E13" s="33"/>
      <c r="F13" s="33"/>
      <c r="G13" s="33"/>
      <c r="H13" s="33"/>
    </row>
    <row r="14" spans="1:8" x14ac:dyDescent="0.25">
      <c r="A14" s="46" t="s">
        <v>70</v>
      </c>
      <c r="B14" s="33"/>
      <c r="C14" s="33"/>
      <c r="D14" s="33"/>
      <c r="E14" s="33"/>
      <c r="F14" s="33"/>
      <c r="G14" s="33"/>
      <c r="H14" s="33"/>
    </row>
    <row r="15" spans="1:8" x14ac:dyDescent="0.25">
      <c r="A15" s="33"/>
      <c r="B15" s="33"/>
      <c r="C15" s="33"/>
      <c r="D15" s="33"/>
      <c r="E15" s="33"/>
      <c r="F15" s="33"/>
      <c r="G15" s="33"/>
      <c r="H15" s="33"/>
    </row>
    <row r="16" spans="1:8" x14ac:dyDescent="0.25">
      <c r="A16" s="46" t="s">
        <v>240</v>
      </c>
      <c r="B16" s="33"/>
      <c r="C16" s="33"/>
      <c r="D16" s="33"/>
      <c r="E16" s="33"/>
      <c r="F16" s="33"/>
      <c r="G16" s="33"/>
      <c r="H16" s="33"/>
    </row>
  </sheetData>
  <mergeCells count="2">
    <mergeCell ref="A9:H9"/>
    <mergeCell ref="A1:H1"/>
  </mergeCells>
  <hyperlinks>
    <hyperlink ref="A12" r:id="rId1" xr:uid="{00000000-0004-0000-4000-000000000000}"/>
    <hyperlink ref="A14" location="'Technical specifications'!A1" display="Technical specifications" xr:uid="{00000000-0004-0000-4000-000001000000}"/>
    <hyperlink ref="A16" location="Contents!A1" display="Back to contents" xr:uid="{00000000-0004-0000-4000-000002000000}"/>
  </hyperlink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H16"/>
  <sheetViews>
    <sheetView workbookViewId="0">
      <selection sqref="A1:H1"/>
    </sheetView>
  </sheetViews>
  <sheetFormatPr defaultRowHeight="15" x14ac:dyDescent="0.25"/>
  <cols>
    <col min="1" max="1" width="17" customWidth="1"/>
    <col min="2" max="2" width="32" customWidth="1"/>
    <col min="3" max="3" width="10" customWidth="1"/>
    <col min="4" max="6" width="8.42578125" customWidth="1"/>
    <col min="7" max="7" width="10" customWidth="1"/>
    <col min="8" max="8" width="8.42578125" customWidth="1"/>
  </cols>
  <sheetData>
    <row r="1" spans="1:8" ht="33.75" customHeight="1" x14ac:dyDescent="0.25">
      <c r="A1" s="74" t="s">
        <v>65</v>
      </c>
      <c r="B1" s="75"/>
      <c r="C1" s="75"/>
      <c r="D1" s="75"/>
      <c r="E1" s="75"/>
      <c r="F1" s="75"/>
      <c r="G1" s="75"/>
      <c r="H1" s="75"/>
    </row>
    <row r="2" spans="1:8" x14ac:dyDescent="0.25">
      <c r="A2" s="34" t="s">
        <v>214</v>
      </c>
      <c r="B2" s="34" t="s">
        <v>242</v>
      </c>
      <c r="C2" s="35" t="s">
        <v>583</v>
      </c>
      <c r="D2" s="35" t="s">
        <v>584</v>
      </c>
      <c r="E2" s="35" t="s">
        <v>585</v>
      </c>
      <c r="F2" s="35" t="s">
        <v>586</v>
      </c>
      <c r="G2" s="35" t="s">
        <v>587</v>
      </c>
      <c r="H2" s="35" t="s">
        <v>235</v>
      </c>
    </row>
    <row r="3" spans="1:8" x14ac:dyDescent="0.25">
      <c r="A3" s="36" t="s">
        <v>224</v>
      </c>
      <c r="B3" s="36" t="s">
        <v>349</v>
      </c>
      <c r="C3" s="37">
        <v>32125</v>
      </c>
      <c r="D3" s="37">
        <v>29114</v>
      </c>
      <c r="E3" s="37">
        <v>28093</v>
      </c>
      <c r="F3" s="37">
        <v>25569</v>
      </c>
      <c r="G3" s="37">
        <v>20023</v>
      </c>
      <c r="H3" s="37">
        <v>143074</v>
      </c>
    </row>
    <row r="4" spans="1:8" x14ac:dyDescent="0.25">
      <c r="A4" s="36" t="s">
        <v>224</v>
      </c>
      <c r="B4" s="36" t="s">
        <v>353</v>
      </c>
      <c r="C4" s="38">
        <v>6.5540729818000001</v>
      </c>
      <c r="D4" s="38">
        <v>5.8630078528</v>
      </c>
      <c r="E4" s="38">
        <v>4.9179699775000003</v>
      </c>
      <c r="F4" s="38">
        <v>4.4171874855000004</v>
      </c>
      <c r="G4" s="38">
        <v>3.6819810581999999</v>
      </c>
      <c r="H4" s="38">
        <v>5.3284650317000004</v>
      </c>
    </row>
    <row r="5" spans="1:8" x14ac:dyDescent="0.25">
      <c r="A5" s="36" t="s">
        <v>224</v>
      </c>
      <c r="B5" s="36" t="s">
        <v>446</v>
      </c>
      <c r="C5" s="38">
        <f>C4/$H4</f>
        <v>1.2300114466002192</v>
      </c>
      <c r="D5" s="38">
        <f t="shared" ref="D5:G5" si="0">D4/$H4</f>
        <v>1.1003183502040284</v>
      </c>
      <c r="E5" s="38">
        <f t="shared" si="0"/>
        <v>0.92296185641495421</v>
      </c>
      <c r="F5" s="38">
        <f t="shared" si="0"/>
        <v>0.82897935131812905</v>
      </c>
      <c r="G5" s="38">
        <f t="shared" si="0"/>
        <v>0.69100219975081567</v>
      </c>
      <c r="H5" s="65" t="s">
        <v>352</v>
      </c>
    </row>
    <row r="6" spans="1:8" x14ac:dyDescent="0.25">
      <c r="A6" s="36" t="s">
        <v>237</v>
      </c>
      <c r="B6" s="36" t="s">
        <v>349</v>
      </c>
      <c r="C6" s="37">
        <v>22924</v>
      </c>
      <c r="D6" s="37">
        <v>28000</v>
      </c>
      <c r="E6" s="37">
        <v>43452</v>
      </c>
      <c r="F6" s="37">
        <v>53826</v>
      </c>
      <c r="G6" s="37">
        <v>66323</v>
      </c>
      <c r="H6" s="37">
        <v>215321</v>
      </c>
    </row>
    <row r="7" spans="1:8" x14ac:dyDescent="0.25">
      <c r="A7" s="36" t="s">
        <v>237</v>
      </c>
      <c r="B7" s="36" t="s">
        <v>353</v>
      </c>
      <c r="C7" s="38">
        <v>4.5353869947999996</v>
      </c>
      <c r="D7" s="38">
        <v>5.3582070578999996</v>
      </c>
      <c r="E7" s="38">
        <v>7.3203617880999996</v>
      </c>
      <c r="F7" s="38">
        <v>9.0879960969999996</v>
      </c>
      <c r="G7" s="38">
        <v>11.986791665</v>
      </c>
      <c r="H7" s="38">
        <v>7.7774121508</v>
      </c>
    </row>
    <row r="8" spans="1:8" ht="15.75" thickBot="1" x14ac:dyDescent="0.3">
      <c r="A8" s="52" t="s">
        <v>237</v>
      </c>
      <c r="B8" s="52" t="s">
        <v>446</v>
      </c>
      <c r="C8" s="60">
        <f>C7/$H7</f>
        <v>0.58314859838480859</v>
      </c>
      <c r="D8" s="60">
        <f t="shared" ref="D8:G8" si="1">D7/$H7</f>
        <v>0.68894472274416418</v>
      </c>
      <c r="E8" s="60">
        <f t="shared" si="1"/>
        <v>0.94123361937903893</v>
      </c>
      <c r="F8" s="60">
        <f t="shared" si="1"/>
        <v>1.1685115718170074</v>
      </c>
      <c r="G8" s="60">
        <f t="shared" si="1"/>
        <v>1.5412313803849285</v>
      </c>
      <c r="H8" s="73" t="s">
        <v>352</v>
      </c>
    </row>
    <row r="9" spans="1:8" x14ac:dyDescent="0.25">
      <c r="A9" s="76" t="s">
        <v>595</v>
      </c>
      <c r="B9" s="77"/>
      <c r="C9" s="77"/>
      <c r="D9" s="77"/>
      <c r="E9" s="77"/>
      <c r="F9" s="77"/>
      <c r="G9" s="77"/>
      <c r="H9" s="77"/>
    </row>
    <row r="10" spans="1:8" x14ac:dyDescent="0.25">
      <c r="A10" s="45"/>
      <c r="B10" s="33"/>
      <c r="C10" s="33"/>
      <c r="D10" s="33"/>
      <c r="E10" s="33"/>
      <c r="F10" s="33"/>
      <c r="G10" s="33"/>
      <c r="H10" s="33"/>
    </row>
    <row r="11" spans="1:8" x14ac:dyDescent="0.25">
      <c r="A11" s="33" t="s">
        <v>239</v>
      </c>
      <c r="B11" s="33"/>
      <c r="C11" s="33"/>
      <c r="D11" s="33"/>
      <c r="E11" s="33"/>
      <c r="F11" s="33"/>
      <c r="G11" s="33"/>
      <c r="H11" s="33"/>
    </row>
    <row r="12" spans="1:8" x14ac:dyDescent="0.25">
      <c r="A12" s="46" t="s">
        <v>212</v>
      </c>
      <c r="B12" s="33"/>
      <c r="C12" s="33"/>
      <c r="D12" s="33"/>
      <c r="E12" s="33"/>
      <c r="F12" s="33"/>
      <c r="G12" s="33"/>
      <c r="H12" s="33"/>
    </row>
    <row r="13" spans="1:8" x14ac:dyDescent="0.25">
      <c r="A13" s="33"/>
      <c r="B13" s="33"/>
      <c r="C13" s="33"/>
      <c r="D13" s="33"/>
      <c r="E13" s="33"/>
      <c r="F13" s="33"/>
      <c r="G13" s="33"/>
      <c r="H13" s="33"/>
    </row>
    <row r="14" spans="1:8" x14ac:dyDescent="0.25">
      <c r="A14" s="46" t="s">
        <v>70</v>
      </c>
      <c r="B14" s="33"/>
      <c r="C14" s="33"/>
      <c r="D14" s="33"/>
      <c r="E14" s="33"/>
      <c r="F14" s="33"/>
      <c r="G14" s="33"/>
      <c r="H14" s="33"/>
    </row>
    <row r="15" spans="1:8" x14ac:dyDescent="0.25">
      <c r="A15" s="33"/>
      <c r="B15" s="33"/>
      <c r="C15" s="33"/>
      <c r="D15" s="33"/>
      <c r="E15" s="33"/>
      <c r="F15" s="33"/>
      <c r="G15" s="33"/>
      <c r="H15" s="33"/>
    </row>
    <row r="16" spans="1:8" x14ac:dyDescent="0.25">
      <c r="A16" s="46" t="s">
        <v>240</v>
      </c>
      <c r="B16" s="33"/>
      <c r="C16" s="33"/>
      <c r="D16" s="33"/>
      <c r="E16" s="33"/>
      <c r="F16" s="33"/>
      <c r="G16" s="33"/>
      <c r="H16" s="33"/>
    </row>
  </sheetData>
  <mergeCells count="2">
    <mergeCell ref="A9:H9"/>
    <mergeCell ref="A1:H1"/>
  </mergeCells>
  <hyperlinks>
    <hyperlink ref="A12" r:id="rId1" xr:uid="{00000000-0004-0000-4100-000000000000}"/>
    <hyperlink ref="A14" location="'Technical specifications'!A1" display="Technical specifications" xr:uid="{00000000-0004-0000-4100-000001000000}"/>
    <hyperlink ref="A16" location="Contents!A1" display="Back to contents" xr:uid="{00000000-0004-0000-4100-000002000000}"/>
  </hyperlinks>
  <pageMargins left="0.75" right="0.75" top="1" bottom="1" header="0.5" footer="0.5"/>
  <ignoredErrors>
    <ignoredError sqref="D2:F2" numberStoredAsText="1"/>
  </ignoredError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K32"/>
  <sheetViews>
    <sheetView workbookViewId="0">
      <selection sqref="A1:K1"/>
    </sheetView>
  </sheetViews>
  <sheetFormatPr defaultRowHeight="15" x14ac:dyDescent="0.25"/>
  <cols>
    <col min="1" max="1" width="17" customWidth="1"/>
    <col min="2" max="2" width="70" customWidth="1"/>
    <col min="3" max="11" width="8.42578125" customWidth="1"/>
  </cols>
  <sheetData>
    <row r="1" spans="1:11" ht="33.75" customHeight="1" x14ac:dyDescent="0.25">
      <c r="A1" s="74" t="s">
        <v>66</v>
      </c>
      <c r="B1" s="75"/>
      <c r="C1" s="75"/>
      <c r="D1" s="75"/>
      <c r="E1" s="75"/>
      <c r="F1" s="75"/>
      <c r="G1" s="75"/>
      <c r="H1" s="75"/>
      <c r="I1" s="75"/>
      <c r="J1" s="75"/>
      <c r="K1" s="75"/>
    </row>
    <row r="2" spans="1:11" x14ac:dyDescent="0.25">
      <c r="A2" s="34" t="s">
        <v>214</v>
      </c>
      <c r="B2" s="34" t="s">
        <v>596</v>
      </c>
      <c r="C2" s="35" t="s">
        <v>338</v>
      </c>
      <c r="D2" s="35" t="s">
        <v>339</v>
      </c>
      <c r="E2" s="35" t="s">
        <v>340</v>
      </c>
      <c r="F2" s="35" t="s">
        <v>341</v>
      </c>
      <c r="G2" s="35" t="s">
        <v>342</v>
      </c>
      <c r="H2" s="35" t="s">
        <v>343</v>
      </c>
      <c r="I2" s="35" t="s">
        <v>344</v>
      </c>
      <c r="J2" s="35" t="s">
        <v>345</v>
      </c>
      <c r="K2" s="35" t="s">
        <v>235</v>
      </c>
    </row>
    <row r="3" spans="1:11" x14ac:dyDescent="0.25">
      <c r="A3" s="36" t="s">
        <v>224</v>
      </c>
      <c r="B3" s="36" t="s">
        <v>401</v>
      </c>
      <c r="C3" s="37">
        <v>1761654</v>
      </c>
      <c r="D3" s="37">
        <v>1946095</v>
      </c>
      <c r="E3" s="37">
        <v>1612094</v>
      </c>
      <c r="F3" s="37">
        <v>620788</v>
      </c>
      <c r="G3" s="37">
        <v>428551</v>
      </c>
      <c r="H3" s="37">
        <v>162847</v>
      </c>
      <c r="I3" s="37">
        <v>145637</v>
      </c>
      <c r="J3" s="37">
        <v>164252</v>
      </c>
      <c r="K3" s="37">
        <v>6841918</v>
      </c>
    </row>
    <row r="4" spans="1:11" x14ac:dyDescent="0.25">
      <c r="A4" s="36" t="s">
        <v>224</v>
      </c>
      <c r="B4" s="36" t="s">
        <v>402</v>
      </c>
      <c r="C4" s="37">
        <v>79263</v>
      </c>
      <c r="D4" s="37">
        <v>91777</v>
      </c>
      <c r="E4" s="37">
        <v>80791</v>
      </c>
      <c r="F4" s="37">
        <v>34481</v>
      </c>
      <c r="G4" s="37">
        <v>31983</v>
      </c>
      <c r="H4" s="37">
        <v>4547</v>
      </c>
      <c r="I4" s="37">
        <v>4322</v>
      </c>
      <c r="J4" s="37">
        <v>4098</v>
      </c>
      <c r="K4" s="37">
        <v>331262</v>
      </c>
    </row>
    <row r="5" spans="1:11" x14ac:dyDescent="0.25">
      <c r="A5" s="36" t="s">
        <v>224</v>
      </c>
      <c r="B5" s="36" t="s">
        <v>503</v>
      </c>
      <c r="C5" s="37">
        <v>12137</v>
      </c>
      <c r="D5" s="37">
        <v>8950</v>
      </c>
      <c r="E5" s="37">
        <v>4663</v>
      </c>
      <c r="F5" s="37">
        <v>2784</v>
      </c>
      <c r="G5" s="37">
        <v>4557</v>
      </c>
      <c r="H5" s="37">
        <v>1069</v>
      </c>
      <c r="I5" s="37">
        <v>353</v>
      </c>
      <c r="J5" s="37">
        <v>337</v>
      </c>
      <c r="K5" s="37">
        <v>34850</v>
      </c>
    </row>
    <row r="6" spans="1:11" x14ac:dyDescent="0.25">
      <c r="A6" s="36" t="s">
        <v>224</v>
      </c>
      <c r="B6" s="36" t="s">
        <v>504</v>
      </c>
      <c r="C6" s="37">
        <v>12281</v>
      </c>
      <c r="D6" s="37">
        <v>27933</v>
      </c>
      <c r="E6" s="37">
        <v>22528</v>
      </c>
      <c r="F6" s="37">
        <v>10689</v>
      </c>
      <c r="G6" s="37">
        <v>16633</v>
      </c>
      <c r="H6" s="37">
        <v>1344</v>
      </c>
      <c r="I6" s="37">
        <v>1029</v>
      </c>
      <c r="J6" s="37">
        <v>1791</v>
      </c>
      <c r="K6" s="37">
        <v>94228</v>
      </c>
    </row>
    <row r="7" spans="1:11" x14ac:dyDescent="0.25">
      <c r="A7" s="36" t="s">
        <v>224</v>
      </c>
      <c r="B7" s="36" t="s">
        <v>505</v>
      </c>
      <c r="C7" s="37">
        <v>955</v>
      </c>
      <c r="D7" s="37">
        <v>2052</v>
      </c>
      <c r="E7" s="37">
        <v>127</v>
      </c>
      <c r="F7" s="37">
        <v>885</v>
      </c>
      <c r="G7" s="37">
        <v>1277</v>
      </c>
      <c r="H7" s="37">
        <v>526</v>
      </c>
      <c r="I7" s="37">
        <v>219</v>
      </c>
      <c r="J7" s="37">
        <v>49</v>
      </c>
      <c r="K7" s="37">
        <v>6090</v>
      </c>
    </row>
    <row r="8" spans="1:11" x14ac:dyDescent="0.25">
      <c r="A8" s="36" t="s">
        <v>224</v>
      </c>
      <c r="B8" s="36" t="s">
        <v>403</v>
      </c>
      <c r="C8" s="37">
        <v>2709</v>
      </c>
      <c r="D8" s="37">
        <v>3053</v>
      </c>
      <c r="E8" s="37">
        <v>2227</v>
      </c>
      <c r="F8" s="37">
        <v>1270</v>
      </c>
      <c r="G8" s="37">
        <v>1814</v>
      </c>
      <c r="H8" s="37">
        <v>189</v>
      </c>
      <c r="I8" s="37">
        <v>342</v>
      </c>
      <c r="J8" s="37">
        <v>443</v>
      </c>
      <c r="K8" s="37">
        <v>12047</v>
      </c>
    </row>
    <row r="9" spans="1:11" x14ac:dyDescent="0.25">
      <c r="A9" s="36" t="s">
        <v>224</v>
      </c>
      <c r="B9" s="36" t="s">
        <v>404</v>
      </c>
      <c r="C9" s="37">
        <v>50761</v>
      </c>
      <c r="D9" s="37">
        <v>19669</v>
      </c>
      <c r="E9" s="37">
        <v>59253</v>
      </c>
      <c r="F9" s="37">
        <v>11891</v>
      </c>
      <c r="G9" s="37">
        <v>15427</v>
      </c>
      <c r="H9" s="37">
        <v>4595</v>
      </c>
      <c r="I9" s="37">
        <v>4517</v>
      </c>
      <c r="J9" s="37">
        <v>1448</v>
      </c>
      <c r="K9" s="37">
        <v>167561</v>
      </c>
    </row>
    <row r="10" spans="1:11" x14ac:dyDescent="0.25">
      <c r="A10" s="36" t="s">
        <v>224</v>
      </c>
      <c r="B10" s="36" t="s">
        <v>405</v>
      </c>
      <c r="C10" s="37">
        <v>20773</v>
      </c>
      <c r="D10" s="37">
        <v>19808</v>
      </c>
      <c r="E10" s="37">
        <v>24250</v>
      </c>
      <c r="F10" s="37">
        <v>7019</v>
      </c>
      <c r="G10" s="37">
        <v>3834</v>
      </c>
      <c r="H10" s="37">
        <v>821</v>
      </c>
      <c r="I10" s="37">
        <v>1595</v>
      </c>
      <c r="J10" s="37">
        <v>6706</v>
      </c>
      <c r="K10" s="37">
        <v>84806</v>
      </c>
    </row>
    <row r="11" spans="1:11" x14ac:dyDescent="0.25">
      <c r="A11" s="36" t="s">
        <v>224</v>
      </c>
      <c r="B11" s="36" t="s">
        <v>506</v>
      </c>
      <c r="C11" s="37">
        <v>1846</v>
      </c>
      <c r="D11" s="37">
        <v>10</v>
      </c>
      <c r="E11" s="37">
        <v>701</v>
      </c>
      <c r="F11" s="37">
        <v>114</v>
      </c>
      <c r="G11" s="37">
        <v>160</v>
      </c>
      <c r="H11" s="38" t="s">
        <v>352</v>
      </c>
      <c r="I11" s="38" t="s">
        <v>352</v>
      </c>
      <c r="J11" s="37">
        <v>122</v>
      </c>
      <c r="K11" s="37">
        <v>2953</v>
      </c>
    </row>
    <row r="12" spans="1:11" x14ac:dyDescent="0.25">
      <c r="A12" s="36" t="s">
        <v>224</v>
      </c>
      <c r="B12" s="36" t="s">
        <v>406</v>
      </c>
      <c r="C12" s="37">
        <v>25100</v>
      </c>
      <c r="D12" s="37">
        <v>18198</v>
      </c>
      <c r="E12" s="37">
        <v>15347</v>
      </c>
      <c r="F12" s="37">
        <v>6214</v>
      </c>
      <c r="G12" s="37">
        <v>6753</v>
      </c>
      <c r="H12" s="37">
        <v>2119</v>
      </c>
      <c r="I12" s="37">
        <v>1389</v>
      </c>
      <c r="J12" s="37">
        <v>717</v>
      </c>
      <c r="K12" s="37">
        <v>75837</v>
      </c>
    </row>
    <row r="13" spans="1:11" x14ac:dyDescent="0.25">
      <c r="A13" s="47" t="s">
        <v>224</v>
      </c>
      <c r="B13" s="47" t="s">
        <v>235</v>
      </c>
      <c r="C13" s="48">
        <v>1967479</v>
      </c>
      <c r="D13" s="48">
        <v>2137545</v>
      </c>
      <c r="E13" s="48">
        <v>1821981</v>
      </c>
      <c r="F13" s="48">
        <v>696135</v>
      </c>
      <c r="G13" s="48">
        <v>510989</v>
      </c>
      <c r="H13" s="48">
        <v>178057</v>
      </c>
      <c r="I13" s="48">
        <v>159403</v>
      </c>
      <c r="J13" s="48">
        <v>179963</v>
      </c>
      <c r="K13" s="48">
        <v>7651552</v>
      </c>
    </row>
    <row r="14" spans="1:11" x14ac:dyDescent="0.25">
      <c r="A14" s="36" t="s">
        <v>237</v>
      </c>
      <c r="B14" s="36" t="s">
        <v>401</v>
      </c>
      <c r="C14" s="37">
        <v>1480072</v>
      </c>
      <c r="D14" s="37">
        <v>1095866</v>
      </c>
      <c r="E14" s="37">
        <v>1302416</v>
      </c>
      <c r="F14" s="37">
        <v>579568</v>
      </c>
      <c r="G14" s="37">
        <v>375604</v>
      </c>
      <c r="H14" s="58" t="s">
        <v>608</v>
      </c>
      <c r="I14" s="58" t="s">
        <v>447</v>
      </c>
      <c r="J14" s="58" t="s">
        <v>608</v>
      </c>
      <c r="K14" s="37">
        <v>4955915</v>
      </c>
    </row>
    <row r="15" spans="1:11" x14ac:dyDescent="0.25">
      <c r="A15" s="36" t="s">
        <v>237</v>
      </c>
      <c r="B15" s="36" t="s">
        <v>402</v>
      </c>
      <c r="C15" s="37">
        <v>23035</v>
      </c>
      <c r="D15" s="37">
        <v>17814</v>
      </c>
      <c r="E15" s="37">
        <v>8458</v>
      </c>
      <c r="F15" s="37">
        <v>4324</v>
      </c>
      <c r="G15" s="37">
        <v>3384</v>
      </c>
      <c r="H15" s="58" t="s">
        <v>608</v>
      </c>
      <c r="I15" s="58" t="s">
        <v>447</v>
      </c>
      <c r="J15" s="58" t="s">
        <v>608</v>
      </c>
      <c r="K15" s="37">
        <v>59059</v>
      </c>
    </row>
    <row r="16" spans="1:11" x14ac:dyDescent="0.25">
      <c r="A16" s="36" t="s">
        <v>237</v>
      </c>
      <c r="B16" s="36" t="s">
        <v>503</v>
      </c>
      <c r="C16" s="37">
        <v>2249</v>
      </c>
      <c r="D16" s="37">
        <v>2427</v>
      </c>
      <c r="E16" s="37">
        <v>1643</v>
      </c>
      <c r="F16" s="37">
        <v>535</v>
      </c>
      <c r="G16" s="37" t="s">
        <v>608</v>
      </c>
      <c r="H16" s="58" t="s">
        <v>608</v>
      </c>
      <c r="I16" s="58" t="s">
        <v>447</v>
      </c>
      <c r="J16" s="58" t="s">
        <v>608</v>
      </c>
      <c r="K16" s="37">
        <v>7255</v>
      </c>
    </row>
    <row r="17" spans="1:11" x14ac:dyDescent="0.25">
      <c r="A17" s="36" t="s">
        <v>237</v>
      </c>
      <c r="B17" s="36" t="s">
        <v>504</v>
      </c>
      <c r="C17" s="38" t="s">
        <v>352</v>
      </c>
      <c r="D17" s="37">
        <v>3034</v>
      </c>
      <c r="E17" s="37">
        <v>2082</v>
      </c>
      <c r="F17" s="37">
        <v>670</v>
      </c>
      <c r="G17" s="37">
        <v>1492</v>
      </c>
      <c r="H17" s="58" t="s">
        <v>608</v>
      </c>
      <c r="I17" s="58" t="s">
        <v>447</v>
      </c>
      <c r="J17" s="58" t="s">
        <v>608</v>
      </c>
      <c r="K17" s="37">
        <v>7327</v>
      </c>
    </row>
    <row r="18" spans="1:11" x14ac:dyDescent="0.25">
      <c r="A18" s="36" t="s">
        <v>237</v>
      </c>
      <c r="B18" s="36" t="s">
        <v>505</v>
      </c>
      <c r="C18" s="38" t="s">
        <v>352</v>
      </c>
      <c r="D18" s="37">
        <v>35</v>
      </c>
      <c r="E18" s="37">
        <v>8</v>
      </c>
      <c r="F18" s="37" t="s">
        <v>608</v>
      </c>
      <c r="G18" s="37" t="s">
        <v>608</v>
      </c>
      <c r="H18" s="58" t="s">
        <v>608</v>
      </c>
      <c r="I18" s="58" t="s">
        <v>447</v>
      </c>
      <c r="J18" s="58" t="s">
        <v>608</v>
      </c>
      <c r="K18" s="37">
        <v>84</v>
      </c>
    </row>
    <row r="19" spans="1:11" x14ac:dyDescent="0.25">
      <c r="A19" s="36" t="s">
        <v>237</v>
      </c>
      <c r="B19" s="36" t="s">
        <v>403</v>
      </c>
      <c r="C19" s="37">
        <v>1296</v>
      </c>
      <c r="D19" s="37">
        <v>53</v>
      </c>
      <c r="E19" s="37">
        <v>1134</v>
      </c>
      <c r="F19" s="37">
        <v>166</v>
      </c>
      <c r="G19" s="37">
        <v>130</v>
      </c>
      <c r="H19" s="58" t="s">
        <v>608</v>
      </c>
      <c r="I19" s="58" t="s">
        <v>447</v>
      </c>
      <c r="J19" s="58" t="s">
        <v>608</v>
      </c>
      <c r="K19" s="37">
        <v>2791</v>
      </c>
    </row>
    <row r="20" spans="1:11" x14ac:dyDescent="0.25">
      <c r="A20" s="36" t="s">
        <v>237</v>
      </c>
      <c r="B20" s="36" t="s">
        <v>404</v>
      </c>
      <c r="C20" s="37">
        <v>54617</v>
      </c>
      <c r="D20" s="37">
        <v>6461</v>
      </c>
      <c r="E20" s="37">
        <v>11107</v>
      </c>
      <c r="F20" s="37">
        <v>2221</v>
      </c>
      <c r="G20" s="37">
        <v>503</v>
      </c>
      <c r="H20" s="58" t="s">
        <v>608</v>
      </c>
      <c r="I20" s="58" t="s">
        <v>447</v>
      </c>
      <c r="J20" s="58" t="s">
        <v>608</v>
      </c>
      <c r="K20" s="37">
        <v>75341</v>
      </c>
    </row>
    <row r="21" spans="1:11" x14ac:dyDescent="0.25">
      <c r="A21" s="36" t="s">
        <v>237</v>
      </c>
      <c r="B21" s="36" t="s">
        <v>405</v>
      </c>
      <c r="C21" s="37">
        <v>1214</v>
      </c>
      <c r="D21" s="37">
        <v>620</v>
      </c>
      <c r="E21" s="37">
        <v>931</v>
      </c>
      <c r="F21" s="37">
        <v>309</v>
      </c>
      <c r="G21" s="37">
        <v>39</v>
      </c>
      <c r="H21" s="58" t="s">
        <v>608</v>
      </c>
      <c r="I21" s="58" t="s">
        <v>447</v>
      </c>
      <c r="J21" s="58" t="s">
        <v>608</v>
      </c>
      <c r="K21" s="37">
        <v>3159</v>
      </c>
    </row>
    <row r="22" spans="1:11" x14ac:dyDescent="0.25">
      <c r="A22" s="36" t="s">
        <v>237</v>
      </c>
      <c r="B22" s="36" t="s">
        <v>506</v>
      </c>
      <c r="C22" s="37">
        <v>7</v>
      </c>
      <c r="D22" s="38" t="s">
        <v>352</v>
      </c>
      <c r="E22" s="37">
        <v>195</v>
      </c>
      <c r="F22" s="37" t="s">
        <v>608</v>
      </c>
      <c r="G22" s="37">
        <v>30</v>
      </c>
      <c r="H22" s="58" t="s">
        <v>608</v>
      </c>
      <c r="I22" s="58" t="s">
        <v>447</v>
      </c>
      <c r="J22" s="58" t="s">
        <v>608</v>
      </c>
      <c r="K22" s="37">
        <v>234</v>
      </c>
    </row>
    <row r="23" spans="1:11" x14ac:dyDescent="0.25">
      <c r="A23" s="36" t="s">
        <v>237</v>
      </c>
      <c r="B23" s="36" t="s">
        <v>406</v>
      </c>
      <c r="C23" s="37">
        <v>2593</v>
      </c>
      <c r="D23" s="37">
        <v>3160</v>
      </c>
      <c r="E23" s="37">
        <v>4823</v>
      </c>
      <c r="F23" s="37">
        <v>2339</v>
      </c>
      <c r="G23" s="37">
        <v>746</v>
      </c>
      <c r="H23" s="58" t="s">
        <v>608</v>
      </c>
      <c r="I23" s="58" t="s">
        <v>447</v>
      </c>
      <c r="J23" s="58" t="s">
        <v>608</v>
      </c>
      <c r="K23" s="37">
        <v>13987</v>
      </c>
    </row>
    <row r="24" spans="1:11" ht="15.75" thickBot="1" x14ac:dyDescent="0.3">
      <c r="A24" s="42" t="s">
        <v>237</v>
      </c>
      <c r="B24" s="42" t="s">
        <v>235</v>
      </c>
      <c r="C24" s="43">
        <v>1565083</v>
      </c>
      <c r="D24" s="43">
        <v>1129470</v>
      </c>
      <c r="E24" s="43">
        <v>1332797</v>
      </c>
      <c r="F24" s="43">
        <v>590166</v>
      </c>
      <c r="G24" s="43">
        <v>381929</v>
      </c>
      <c r="H24" s="63" t="s">
        <v>608</v>
      </c>
      <c r="I24" s="63" t="s">
        <v>447</v>
      </c>
      <c r="J24" s="63" t="s">
        <v>608</v>
      </c>
      <c r="K24" s="43">
        <v>5125152</v>
      </c>
    </row>
    <row r="25" spans="1:11" x14ac:dyDescent="0.25">
      <c r="A25" s="76" t="s">
        <v>597</v>
      </c>
      <c r="B25" s="77"/>
      <c r="C25" s="77"/>
      <c r="D25" s="77"/>
      <c r="E25" s="77"/>
      <c r="F25" s="77"/>
      <c r="G25" s="77"/>
      <c r="H25" s="77"/>
      <c r="I25" s="77"/>
      <c r="J25" s="77"/>
      <c r="K25" s="77"/>
    </row>
    <row r="26" spans="1:11" x14ac:dyDescent="0.25">
      <c r="A26" s="45"/>
      <c r="B26" s="33"/>
      <c r="C26" s="33"/>
      <c r="D26" s="33"/>
      <c r="E26" s="33"/>
      <c r="F26" s="33"/>
      <c r="G26" s="33"/>
      <c r="H26" s="33"/>
      <c r="I26" s="33"/>
      <c r="J26" s="33"/>
      <c r="K26" s="33"/>
    </row>
    <row r="27" spans="1:11" x14ac:dyDescent="0.25">
      <c r="A27" s="33" t="s">
        <v>239</v>
      </c>
      <c r="B27" s="33"/>
      <c r="C27" s="33"/>
      <c r="D27" s="33"/>
      <c r="E27" s="33"/>
      <c r="F27" s="33"/>
      <c r="G27" s="33"/>
      <c r="H27" s="33"/>
      <c r="I27" s="33"/>
      <c r="J27" s="33"/>
      <c r="K27" s="33"/>
    </row>
    <row r="28" spans="1:11" x14ac:dyDescent="0.25">
      <c r="A28" s="46" t="s">
        <v>212</v>
      </c>
      <c r="B28" s="33"/>
      <c r="C28" s="33"/>
      <c r="D28" s="33"/>
      <c r="E28" s="33"/>
      <c r="F28" s="33"/>
      <c r="G28" s="33"/>
      <c r="H28" s="33"/>
      <c r="I28" s="33"/>
      <c r="J28" s="33"/>
      <c r="K28" s="33"/>
    </row>
    <row r="29" spans="1:11" x14ac:dyDescent="0.25">
      <c r="A29" s="33"/>
      <c r="B29" s="33"/>
      <c r="C29" s="33"/>
      <c r="D29" s="33"/>
      <c r="E29" s="33"/>
      <c r="F29" s="33"/>
      <c r="G29" s="33"/>
      <c r="H29" s="33"/>
      <c r="I29" s="33"/>
      <c r="J29" s="33"/>
      <c r="K29" s="33"/>
    </row>
    <row r="30" spans="1:11" x14ac:dyDescent="0.25">
      <c r="A30" s="46" t="s">
        <v>70</v>
      </c>
      <c r="B30" s="33"/>
      <c r="C30" s="33"/>
      <c r="D30" s="33"/>
      <c r="E30" s="33"/>
      <c r="F30" s="33"/>
      <c r="G30" s="33"/>
      <c r="H30" s="33"/>
      <c r="I30" s="33"/>
      <c r="J30" s="33"/>
      <c r="K30" s="33"/>
    </row>
    <row r="31" spans="1:11" x14ac:dyDescent="0.25">
      <c r="A31" s="33"/>
      <c r="B31" s="33"/>
      <c r="C31" s="33"/>
      <c r="D31" s="33"/>
      <c r="E31" s="33"/>
      <c r="F31" s="33"/>
      <c r="G31" s="33"/>
      <c r="H31" s="33"/>
      <c r="I31" s="33"/>
      <c r="J31" s="33"/>
      <c r="K31" s="33"/>
    </row>
    <row r="32" spans="1:11" x14ac:dyDescent="0.25">
      <c r="A32" s="46" t="s">
        <v>240</v>
      </c>
      <c r="B32" s="33"/>
      <c r="C32" s="33"/>
      <c r="D32" s="33"/>
      <c r="E32" s="33"/>
      <c r="F32" s="33"/>
      <c r="G32" s="33"/>
      <c r="H32" s="33"/>
      <c r="I32" s="33"/>
      <c r="J32" s="33"/>
      <c r="K32" s="33"/>
    </row>
  </sheetData>
  <mergeCells count="2">
    <mergeCell ref="A1:K1"/>
    <mergeCell ref="A25:K25"/>
  </mergeCells>
  <hyperlinks>
    <hyperlink ref="A28" r:id="rId1" xr:uid="{00000000-0004-0000-4200-000000000000}"/>
    <hyperlink ref="A30" location="'Technical specifications'!A1" display="Technical specifications" xr:uid="{00000000-0004-0000-4200-000001000000}"/>
    <hyperlink ref="A32" location="Contents!A1" display="Back to contents" xr:uid="{00000000-0004-0000-4200-000002000000}"/>
  </hyperlink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E21"/>
  <sheetViews>
    <sheetView workbookViewId="0">
      <selection sqref="A1:E1"/>
    </sheetView>
  </sheetViews>
  <sheetFormatPr defaultRowHeight="15" x14ac:dyDescent="0.25"/>
  <cols>
    <col min="1" max="1" width="70" customWidth="1"/>
    <col min="2" max="5" width="20" customWidth="1"/>
  </cols>
  <sheetData>
    <row r="1" spans="1:5" ht="33.75" customHeight="1" x14ac:dyDescent="0.25">
      <c r="A1" s="74" t="s">
        <v>67</v>
      </c>
      <c r="B1" s="75"/>
      <c r="C1" s="75"/>
      <c r="D1" s="75"/>
      <c r="E1" s="75"/>
    </row>
    <row r="2" spans="1:5" ht="23.25" x14ac:dyDescent="0.25">
      <c r="A2" s="34" t="s">
        <v>596</v>
      </c>
      <c r="B2" s="35" t="s">
        <v>224</v>
      </c>
      <c r="C2" s="35" t="s">
        <v>277</v>
      </c>
      <c r="D2" s="35" t="s">
        <v>278</v>
      </c>
      <c r="E2" s="35" t="s">
        <v>235</v>
      </c>
    </row>
    <row r="3" spans="1:5" x14ac:dyDescent="0.25">
      <c r="A3" s="36" t="s">
        <v>401</v>
      </c>
      <c r="B3" s="37">
        <v>4112192</v>
      </c>
      <c r="C3" s="37">
        <v>1105927</v>
      </c>
      <c r="D3" s="37">
        <v>2201707</v>
      </c>
      <c r="E3" s="37">
        <v>7419826</v>
      </c>
    </row>
    <row r="4" spans="1:5" x14ac:dyDescent="0.25">
      <c r="A4" s="36" t="s">
        <v>402</v>
      </c>
      <c r="B4" s="37">
        <v>79111</v>
      </c>
      <c r="C4" s="37">
        <v>5880</v>
      </c>
      <c r="D4" s="37">
        <v>4994</v>
      </c>
      <c r="E4" s="37">
        <v>89985</v>
      </c>
    </row>
    <row r="5" spans="1:5" x14ac:dyDescent="0.25">
      <c r="A5" s="36" t="s">
        <v>503</v>
      </c>
      <c r="B5" s="37">
        <v>1153</v>
      </c>
      <c r="C5" s="37" t="s">
        <v>608</v>
      </c>
      <c r="D5" s="37" t="s">
        <v>608</v>
      </c>
      <c r="E5" s="37">
        <v>1274</v>
      </c>
    </row>
    <row r="6" spans="1:5" x14ac:dyDescent="0.25">
      <c r="A6" s="36" t="s">
        <v>504</v>
      </c>
      <c r="B6" s="37">
        <v>34161</v>
      </c>
      <c r="C6" s="37">
        <v>215</v>
      </c>
      <c r="D6" s="37">
        <v>557</v>
      </c>
      <c r="E6" s="37">
        <v>34933</v>
      </c>
    </row>
    <row r="7" spans="1:5" x14ac:dyDescent="0.25">
      <c r="A7" s="36" t="s">
        <v>505</v>
      </c>
      <c r="B7" s="37">
        <v>972</v>
      </c>
      <c r="C7" s="37">
        <v>5</v>
      </c>
      <c r="D7" s="37">
        <v>26</v>
      </c>
      <c r="E7" s="37">
        <v>1003</v>
      </c>
    </row>
    <row r="8" spans="1:5" x14ac:dyDescent="0.25">
      <c r="A8" s="36" t="s">
        <v>403</v>
      </c>
      <c r="B8" s="37">
        <v>1746</v>
      </c>
      <c r="C8" s="37">
        <v>57</v>
      </c>
      <c r="D8" s="37">
        <v>173</v>
      </c>
      <c r="E8" s="37">
        <v>1976</v>
      </c>
    </row>
    <row r="9" spans="1:5" x14ac:dyDescent="0.25">
      <c r="A9" s="36" t="s">
        <v>404</v>
      </c>
      <c r="B9" s="37">
        <v>5851</v>
      </c>
      <c r="C9" s="38" t="s">
        <v>352</v>
      </c>
      <c r="D9" s="37">
        <v>2086</v>
      </c>
      <c r="E9" s="37">
        <v>7937</v>
      </c>
    </row>
    <row r="10" spans="1:5" x14ac:dyDescent="0.25">
      <c r="A10" s="36" t="s">
        <v>405</v>
      </c>
      <c r="B10" s="37">
        <v>33658</v>
      </c>
      <c r="C10" s="37">
        <v>239</v>
      </c>
      <c r="D10" s="37">
        <v>707</v>
      </c>
      <c r="E10" s="37">
        <v>34604</v>
      </c>
    </row>
    <row r="11" spans="1:5" x14ac:dyDescent="0.25">
      <c r="A11" s="36" t="s">
        <v>506</v>
      </c>
      <c r="B11" s="37">
        <v>1056</v>
      </c>
      <c r="C11" s="38" t="s">
        <v>352</v>
      </c>
      <c r="D11" s="37">
        <v>61</v>
      </c>
      <c r="E11" s="37">
        <v>1117</v>
      </c>
    </row>
    <row r="12" spans="1:5" x14ac:dyDescent="0.25">
      <c r="A12" s="36" t="s">
        <v>406</v>
      </c>
      <c r="B12" s="37">
        <v>3033</v>
      </c>
      <c r="C12" s="37" t="s">
        <v>608</v>
      </c>
      <c r="D12" s="37" t="s">
        <v>608</v>
      </c>
      <c r="E12" s="37">
        <v>3281</v>
      </c>
    </row>
    <row r="13" spans="1:5" x14ac:dyDescent="0.25">
      <c r="A13" s="42" t="s">
        <v>235</v>
      </c>
      <c r="B13" s="43">
        <v>4272933</v>
      </c>
      <c r="C13" s="43">
        <v>1112327</v>
      </c>
      <c r="D13" s="43">
        <v>2210676</v>
      </c>
      <c r="E13" s="43">
        <v>7595936</v>
      </c>
    </row>
    <row r="14" spans="1:5" x14ac:dyDescent="0.25">
      <c r="A14" s="76" t="s">
        <v>597</v>
      </c>
      <c r="B14" s="77"/>
      <c r="C14" s="77"/>
      <c r="D14" s="77"/>
      <c r="E14" s="77"/>
    </row>
    <row r="15" spans="1:5" x14ac:dyDescent="0.25">
      <c r="A15" s="45"/>
      <c r="B15" s="33"/>
      <c r="C15" s="33"/>
      <c r="D15" s="33"/>
      <c r="E15" s="33"/>
    </row>
    <row r="16" spans="1:5" x14ac:dyDescent="0.25">
      <c r="A16" s="33" t="s">
        <v>239</v>
      </c>
      <c r="B16" s="33"/>
      <c r="C16" s="33"/>
      <c r="D16" s="33"/>
      <c r="E16" s="33"/>
    </row>
    <row r="17" spans="1:5" x14ac:dyDescent="0.25">
      <c r="A17" s="46" t="s">
        <v>212</v>
      </c>
      <c r="B17" s="33"/>
      <c r="C17" s="33"/>
      <c r="D17" s="33"/>
      <c r="E17" s="33"/>
    </row>
    <row r="18" spans="1:5" x14ac:dyDescent="0.25">
      <c r="A18" s="33"/>
      <c r="B18" s="33"/>
      <c r="C18" s="33"/>
      <c r="D18" s="33"/>
      <c r="E18" s="33"/>
    </row>
    <row r="19" spans="1:5" x14ac:dyDescent="0.25">
      <c r="A19" s="46" t="s">
        <v>70</v>
      </c>
      <c r="B19" s="33"/>
      <c r="C19" s="33"/>
      <c r="D19" s="33"/>
      <c r="E19" s="33"/>
    </row>
    <row r="20" spans="1:5" x14ac:dyDescent="0.25">
      <c r="A20" s="33"/>
      <c r="B20" s="33"/>
      <c r="C20" s="33"/>
      <c r="D20" s="33"/>
      <c r="E20" s="33"/>
    </row>
    <row r="21" spans="1:5" x14ac:dyDescent="0.25">
      <c r="A21" s="46" t="s">
        <v>240</v>
      </c>
      <c r="B21" s="33"/>
      <c r="C21" s="33"/>
      <c r="D21" s="33"/>
      <c r="E21" s="33"/>
    </row>
  </sheetData>
  <mergeCells count="2">
    <mergeCell ref="A1:E1"/>
    <mergeCell ref="A14:E14"/>
  </mergeCells>
  <hyperlinks>
    <hyperlink ref="A17" r:id="rId1" xr:uid="{00000000-0004-0000-4300-000000000000}"/>
    <hyperlink ref="A19" location="'Technical specifications'!A1" display="Technical specifications" xr:uid="{00000000-0004-0000-4300-000001000000}"/>
    <hyperlink ref="A21" location="Contents!A1" display="Back to contents" xr:uid="{00000000-0004-0000-4300-000002000000}"/>
  </hyperlink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D21"/>
  <sheetViews>
    <sheetView workbookViewId="0">
      <selection sqref="A1:D1"/>
    </sheetView>
  </sheetViews>
  <sheetFormatPr defaultRowHeight="15" x14ac:dyDescent="0.25"/>
  <cols>
    <col min="1" max="1" width="70" customWidth="1"/>
    <col min="2" max="4" width="20" customWidth="1"/>
  </cols>
  <sheetData>
    <row r="1" spans="1:4" ht="33.75" customHeight="1" x14ac:dyDescent="0.25">
      <c r="A1" s="74" t="s">
        <v>68</v>
      </c>
      <c r="B1" s="75"/>
      <c r="C1" s="75"/>
      <c r="D1" s="75"/>
    </row>
    <row r="2" spans="1:4" x14ac:dyDescent="0.25">
      <c r="A2" s="34" t="s">
        <v>596</v>
      </c>
      <c r="B2" s="35" t="s">
        <v>224</v>
      </c>
      <c r="C2" s="35" t="s">
        <v>237</v>
      </c>
      <c r="D2" s="35" t="s">
        <v>238</v>
      </c>
    </row>
    <row r="3" spans="1:4" x14ac:dyDescent="0.25">
      <c r="A3" s="36" t="s">
        <v>401</v>
      </c>
      <c r="B3" s="37">
        <v>2494834</v>
      </c>
      <c r="C3" s="37">
        <v>1061456</v>
      </c>
      <c r="D3" s="37">
        <v>3556290</v>
      </c>
    </row>
    <row r="4" spans="1:4" x14ac:dyDescent="0.25">
      <c r="A4" s="36" t="s">
        <v>402</v>
      </c>
      <c r="B4" s="37">
        <v>215469</v>
      </c>
      <c r="C4" s="37">
        <v>42467</v>
      </c>
      <c r="D4" s="37">
        <v>257936</v>
      </c>
    </row>
    <row r="5" spans="1:4" x14ac:dyDescent="0.25">
      <c r="A5" s="36" t="s">
        <v>503</v>
      </c>
      <c r="B5" s="37">
        <v>13933</v>
      </c>
      <c r="C5" s="37">
        <v>4533</v>
      </c>
      <c r="D5" s="37">
        <v>18466</v>
      </c>
    </row>
    <row r="6" spans="1:4" x14ac:dyDescent="0.25">
      <c r="A6" s="36" t="s">
        <v>504</v>
      </c>
      <c r="B6" s="37">
        <v>52753</v>
      </c>
      <c r="C6" s="37">
        <v>5891</v>
      </c>
      <c r="D6" s="37">
        <v>58644</v>
      </c>
    </row>
    <row r="7" spans="1:4" x14ac:dyDescent="0.25">
      <c r="A7" s="36" t="s">
        <v>505</v>
      </c>
      <c r="B7" s="37">
        <v>930</v>
      </c>
      <c r="C7" s="37">
        <v>39</v>
      </c>
      <c r="D7" s="37">
        <v>969</v>
      </c>
    </row>
    <row r="8" spans="1:4" x14ac:dyDescent="0.25">
      <c r="A8" s="36" t="s">
        <v>403</v>
      </c>
      <c r="B8" s="37">
        <v>5044</v>
      </c>
      <c r="C8" s="37">
        <v>2003</v>
      </c>
      <c r="D8" s="37">
        <v>7047</v>
      </c>
    </row>
    <row r="9" spans="1:4" x14ac:dyDescent="0.25">
      <c r="A9" s="36" t="s">
        <v>404</v>
      </c>
      <c r="B9" s="37">
        <v>129142</v>
      </c>
      <c r="C9" s="37">
        <v>25163</v>
      </c>
      <c r="D9" s="37">
        <v>154305</v>
      </c>
    </row>
    <row r="10" spans="1:4" x14ac:dyDescent="0.25">
      <c r="A10" s="36" t="s">
        <v>405</v>
      </c>
      <c r="B10" s="37">
        <v>47346</v>
      </c>
      <c r="C10" s="37">
        <v>1048</v>
      </c>
      <c r="D10" s="37">
        <v>48394</v>
      </c>
    </row>
    <row r="11" spans="1:4" x14ac:dyDescent="0.25">
      <c r="A11" s="36" t="s">
        <v>506</v>
      </c>
      <c r="B11" s="37">
        <v>867</v>
      </c>
      <c r="C11" s="37">
        <v>46</v>
      </c>
      <c r="D11" s="37">
        <v>913</v>
      </c>
    </row>
    <row r="12" spans="1:4" x14ac:dyDescent="0.25">
      <c r="A12" s="36" t="s">
        <v>406</v>
      </c>
      <c r="B12" s="37">
        <v>34494</v>
      </c>
      <c r="C12" s="37">
        <v>9412</v>
      </c>
      <c r="D12" s="37">
        <v>43906</v>
      </c>
    </row>
    <row r="13" spans="1:4" x14ac:dyDescent="0.25">
      <c r="A13" s="42" t="s">
        <v>235</v>
      </c>
      <c r="B13" s="43">
        <v>2994812</v>
      </c>
      <c r="C13" s="43">
        <v>1152058</v>
      </c>
      <c r="D13" s="43">
        <v>4146870</v>
      </c>
    </row>
    <row r="14" spans="1:4" ht="22.5" customHeight="1" x14ac:dyDescent="0.25">
      <c r="A14" s="76" t="s">
        <v>597</v>
      </c>
      <c r="B14" s="77"/>
      <c r="C14" s="77"/>
      <c r="D14" s="77"/>
    </row>
    <row r="15" spans="1:4" x14ac:dyDescent="0.25">
      <c r="A15" s="45"/>
      <c r="B15" s="33"/>
      <c r="C15" s="33"/>
      <c r="D15" s="33"/>
    </row>
    <row r="16" spans="1:4" x14ac:dyDescent="0.25">
      <c r="A16" s="33" t="s">
        <v>239</v>
      </c>
      <c r="B16" s="33"/>
      <c r="C16" s="33"/>
      <c r="D16" s="33"/>
    </row>
    <row r="17" spans="1:4" x14ac:dyDescent="0.25">
      <c r="A17" s="46" t="s">
        <v>212</v>
      </c>
      <c r="B17" s="33"/>
      <c r="C17" s="33"/>
      <c r="D17" s="33"/>
    </row>
    <row r="18" spans="1:4" x14ac:dyDescent="0.25">
      <c r="A18" s="33"/>
      <c r="B18" s="33"/>
      <c r="C18" s="33"/>
      <c r="D18" s="33"/>
    </row>
    <row r="19" spans="1:4" x14ac:dyDescent="0.25">
      <c r="A19" s="46" t="s">
        <v>70</v>
      </c>
      <c r="B19" s="33"/>
      <c r="C19" s="33"/>
      <c r="D19" s="33"/>
    </row>
    <row r="20" spans="1:4" x14ac:dyDescent="0.25">
      <c r="A20" s="33"/>
      <c r="B20" s="33"/>
      <c r="C20" s="33"/>
      <c r="D20" s="33"/>
    </row>
    <row r="21" spans="1:4" x14ac:dyDescent="0.25">
      <c r="A21" s="46" t="s">
        <v>240</v>
      </c>
      <c r="B21" s="33"/>
      <c r="C21" s="33"/>
      <c r="D21" s="33"/>
    </row>
  </sheetData>
  <mergeCells count="2">
    <mergeCell ref="A1:D1"/>
    <mergeCell ref="A14:D14"/>
  </mergeCells>
  <hyperlinks>
    <hyperlink ref="A17" r:id="rId1" xr:uid="{00000000-0004-0000-4400-000000000000}"/>
    <hyperlink ref="A19" location="'Technical specifications'!A1" display="Technical specifications" xr:uid="{00000000-0004-0000-4400-000001000000}"/>
    <hyperlink ref="A21" location="Contents!A1" display="Back to contents" xr:uid="{00000000-0004-0000-4400-000002000000}"/>
  </hyperlink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L28"/>
  <sheetViews>
    <sheetView workbookViewId="0">
      <selection sqref="A1:L1"/>
    </sheetView>
  </sheetViews>
  <sheetFormatPr defaultRowHeight="15" x14ac:dyDescent="0.25"/>
  <cols>
    <col min="1" max="1" width="17" customWidth="1"/>
    <col min="2" max="2" width="14" customWidth="1"/>
    <col min="3" max="3" width="43" customWidth="1"/>
    <col min="4" max="12" width="8.42578125" customWidth="1"/>
  </cols>
  <sheetData>
    <row r="1" spans="1:12" ht="33.75" customHeight="1" x14ac:dyDescent="0.25">
      <c r="A1" s="74" t="s">
        <v>69</v>
      </c>
      <c r="B1" s="75"/>
      <c r="C1" s="75"/>
      <c r="D1" s="75"/>
      <c r="E1" s="75"/>
      <c r="F1" s="75"/>
      <c r="G1" s="75"/>
      <c r="H1" s="75"/>
      <c r="I1" s="75"/>
      <c r="J1" s="75"/>
      <c r="K1" s="75"/>
      <c r="L1" s="75"/>
    </row>
    <row r="2" spans="1:12" x14ac:dyDescent="0.25">
      <c r="A2" s="34" t="s">
        <v>214</v>
      </c>
      <c r="B2" s="34" t="s">
        <v>598</v>
      </c>
      <c r="C2" s="34" t="s">
        <v>242</v>
      </c>
      <c r="D2" s="35" t="s">
        <v>338</v>
      </c>
      <c r="E2" s="35" t="s">
        <v>339</v>
      </c>
      <c r="F2" s="35" t="s">
        <v>340</v>
      </c>
      <c r="G2" s="35" t="s">
        <v>341</v>
      </c>
      <c r="H2" s="35" t="s">
        <v>342</v>
      </c>
      <c r="I2" s="35" t="s">
        <v>343</v>
      </c>
      <c r="J2" s="35" t="s">
        <v>344</v>
      </c>
      <c r="K2" s="35" t="s">
        <v>345</v>
      </c>
      <c r="L2" s="35" t="s">
        <v>235</v>
      </c>
    </row>
    <row r="3" spans="1:12" x14ac:dyDescent="0.25">
      <c r="A3" s="36" t="s">
        <v>224</v>
      </c>
      <c r="B3" s="36" t="s">
        <v>548</v>
      </c>
      <c r="C3" s="36" t="s">
        <v>349</v>
      </c>
      <c r="D3" s="38" t="s">
        <v>352</v>
      </c>
      <c r="E3" s="37">
        <v>26276</v>
      </c>
      <c r="F3" s="37">
        <v>2158</v>
      </c>
      <c r="G3" s="37">
        <v>10</v>
      </c>
      <c r="H3" s="37">
        <v>295</v>
      </c>
      <c r="I3" s="37">
        <v>15</v>
      </c>
      <c r="J3" s="38" t="s">
        <v>352</v>
      </c>
      <c r="K3" s="38" t="s">
        <v>352</v>
      </c>
      <c r="L3" s="37">
        <v>28754</v>
      </c>
    </row>
    <row r="4" spans="1:12" x14ac:dyDescent="0.25">
      <c r="A4" s="36" t="s">
        <v>224</v>
      </c>
      <c r="B4" s="36" t="s">
        <v>552</v>
      </c>
      <c r="C4" s="36" t="s">
        <v>349</v>
      </c>
      <c r="D4" s="37">
        <v>36476</v>
      </c>
      <c r="E4" s="37">
        <v>58030</v>
      </c>
      <c r="F4" s="37">
        <v>22121</v>
      </c>
      <c r="G4" s="37">
        <v>4445</v>
      </c>
      <c r="H4" s="37">
        <v>17627</v>
      </c>
      <c r="I4" s="37">
        <v>1527</v>
      </c>
      <c r="J4" s="37">
        <v>2414</v>
      </c>
      <c r="K4" s="37">
        <v>548</v>
      </c>
      <c r="L4" s="37">
        <v>143188</v>
      </c>
    </row>
    <row r="5" spans="1:12" x14ac:dyDescent="0.25">
      <c r="A5" s="36" t="s">
        <v>224</v>
      </c>
      <c r="B5" s="36"/>
      <c r="C5" s="36" t="s">
        <v>599</v>
      </c>
      <c r="D5" s="37">
        <v>344778</v>
      </c>
      <c r="E5" s="37">
        <v>711928</v>
      </c>
      <c r="F5" s="37">
        <v>253617</v>
      </c>
      <c r="G5" s="37">
        <v>69408</v>
      </c>
      <c r="H5" s="37">
        <v>183033</v>
      </c>
      <c r="I5" s="37">
        <v>18612</v>
      </c>
      <c r="J5" s="37">
        <v>23286</v>
      </c>
      <c r="K5" s="37">
        <v>13291</v>
      </c>
      <c r="L5" s="37">
        <v>1617953</v>
      </c>
    </row>
    <row r="6" spans="1:12" x14ac:dyDescent="0.25">
      <c r="A6" s="36" t="s">
        <v>224</v>
      </c>
      <c r="B6" s="36"/>
      <c r="C6" s="36" t="s">
        <v>244</v>
      </c>
      <c r="D6" s="38">
        <v>9.4521877398999994</v>
      </c>
      <c r="E6" s="38">
        <v>8.4445709677000007</v>
      </c>
      <c r="F6" s="38">
        <v>10.445940937</v>
      </c>
      <c r="G6" s="38">
        <v>15.57979798</v>
      </c>
      <c r="H6" s="38">
        <v>10.212755273000001</v>
      </c>
      <c r="I6" s="38">
        <v>12.070038910999999</v>
      </c>
      <c r="J6" s="38">
        <v>9.6462303230999993</v>
      </c>
      <c r="K6" s="38">
        <v>24.253649634999999</v>
      </c>
      <c r="L6" s="38">
        <v>9.4098765862999993</v>
      </c>
    </row>
    <row r="7" spans="1:12" x14ac:dyDescent="0.25">
      <c r="A7" s="36" t="s">
        <v>224</v>
      </c>
      <c r="B7" s="36"/>
      <c r="C7" s="36" t="s">
        <v>600</v>
      </c>
      <c r="D7" s="38">
        <v>6.2545783529000003</v>
      </c>
      <c r="E7" s="38">
        <v>5.6839963941000002</v>
      </c>
      <c r="F7" s="38">
        <v>7.2146711149999998</v>
      </c>
      <c r="G7" s="38">
        <v>9.8543209876999995</v>
      </c>
      <c r="H7" s="38">
        <v>7.4859390692999996</v>
      </c>
      <c r="I7" s="38">
        <v>9.2996108949000007</v>
      </c>
      <c r="J7" s="38">
        <v>6.301988401</v>
      </c>
      <c r="K7" s="38">
        <v>15.468978101999999</v>
      </c>
      <c r="L7" s="38">
        <v>6.3893405915999999</v>
      </c>
    </row>
    <row r="8" spans="1:12" x14ac:dyDescent="0.25">
      <c r="A8" s="36" t="s">
        <v>224</v>
      </c>
      <c r="B8" s="36"/>
      <c r="C8" s="36" t="s">
        <v>601</v>
      </c>
      <c r="D8" s="37">
        <v>228142</v>
      </c>
      <c r="E8" s="37">
        <v>479195</v>
      </c>
      <c r="F8" s="37">
        <v>175165</v>
      </c>
      <c r="G8" s="37">
        <v>43901</v>
      </c>
      <c r="H8" s="37">
        <v>134163</v>
      </c>
      <c r="I8" s="37">
        <v>14340</v>
      </c>
      <c r="J8" s="37">
        <v>15213</v>
      </c>
      <c r="K8" s="37">
        <v>8477</v>
      </c>
      <c r="L8" s="37">
        <v>1098596</v>
      </c>
    </row>
    <row r="9" spans="1:12" x14ac:dyDescent="0.25">
      <c r="A9" s="36" t="s">
        <v>237</v>
      </c>
      <c r="B9" s="36" t="s">
        <v>548</v>
      </c>
      <c r="C9" s="36" t="s">
        <v>349</v>
      </c>
      <c r="D9" s="38" t="s">
        <v>352</v>
      </c>
      <c r="E9" s="37">
        <v>620</v>
      </c>
      <c r="F9" s="37">
        <v>3711</v>
      </c>
      <c r="G9" s="38" t="s">
        <v>352</v>
      </c>
      <c r="H9" s="38" t="s">
        <v>352</v>
      </c>
      <c r="I9" s="38" t="s">
        <v>352</v>
      </c>
      <c r="J9" s="38" t="s">
        <v>352</v>
      </c>
      <c r="K9" s="38" t="s">
        <v>352</v>
      </c>
      <c r="L9" s="37">
        <v>4331</v>
      </c>
    </row>
    <row r="10" spans="1:12" x14ac:dyDescent="0.25">
      <c r="A10" s="36" t="s">
        <v>237</v>
      </c>
      <c r="B10" s="36" t="s">
        <v>552</v>
      </c>
      <c r="C10" s="36" t="s">
        <v>349</v>
      </c>
      <c r="D10" s="38" t="s">
        <v>352</v>
      </c>
      <c r="E10" s="37">
        <v>1262</v>
      </c>
      <c r="F10" s="37">
        <v>221</v>
      </c>
      <c r="G10" s="37">
        <v>247</v>
      </c>
      <c r="H10" s="38" t="s">
        <v>352</v>
      </c>
      <c r="I10" s="38" t="s">
        <v>352</v>
      </c>
      <c r="J10" s="38" t="s">
        <v>352</v>
      </c>
      <c r="K10" s="38" t="s">
        <v>352</v>
      </c>
      <c r="L10" s="37">
        <v>1730</v>
      </c>
    </row>
    <row r="11" spans="1:12" x14ac:dyDescent="0.25">
      <c r="A11" s="36" t="s">
        <v>237</v>
      </c>
      <c r="B11" s="36"/>
      <c r="C11" s="36" t="s">
        <v>599</v>
      </c>
      <c r="D11" s="38" t="s">
        <v>352</v>
      </c>
      <c r="E11" s="37">
        <v>29166</v>
      </c>
      <c r="F11" s="37">
        <v>10145</v>
      </c>
      <c r="G11" s="37">
        <v>4674</v>
      </c>
      <c r="H11" s="38" t="s">
        <v>352</v>
      </c>
      <c r="I11" s="38" t="s">
        <v>352</v>
      </c>
      <c r="J11" s="38" t="s">
        <v>352</v>
      </c>
      <c r="K11" s="38" t="s">
        <v>352</v>
      </c>
      <c r="L11" s="37">
        <v>43985</v>
      </c>
    </row>
    <row r="12" spans="1:12" x14ac:dyDescent="0.25">
      <c r="A12" s="36" t="s">
        <v>237</v>
      </c>
      <c r="B12" s="36"/>
      <c r="C12" s="36" t="s">
        <v>244</v>
      </c>
      <c r="D12" s="38" t="s">
        <v>352</v>
      </c>
      <c r="E12" s="38">
        <v>15.497343252</v>
      </c>
      <c r="F12" s="38">
        <v>2.5801119023000001</v>
      </c>
      <c r="G12" s="38">
        <v>18.923076923</v>
      </c>
      <c r="H12" s="38" t="s">
        <v>352</v>
      </c>
      <c r="I12" s="38" t="s">
        <v>352</v>
      </c>
      <c r="J12" s="38" t="s">
        <v>352</v>
      </c>
      <c r="K12" s="38" t="s">
        <v>352</v>
      </c>
      <c r="L12" s="38">
        <v>7.2570532915000001</v>
      </c>
    </row>
    <row r="13" spans="1:12" x14ac:dyDescent="0.25">
      <c r="A13" s="36" t="s">
        <v>237</v>
      </c>
      <c r="B13" s="36"/>
      <c r="C13" s="36" t="s">
        <v>600</v>
      </c>
      <c r="D13" s="38" t="s">
        <v>352</v>
      </c>
      <c r="E13" s="38">
        <v>10.788522847999999</v>
      </c>
      <c r="F13" s="38">
        <v>2.0190742625000002</v>
      </c>
      <c r="G13" s="38">
        <v>13.008097166000001</v>
      </c>
      <c r="H13" s="38" t="s">
        <v>352</v>
      </c>
      <c r="I13" s="38" t="s">
        <v>352</v>
      </c>
      <c r="J13" s="38" t="s">
        <v>352</v>
      </c>
      <c r="K13" s="38" t="s">
        <v>352</v>
      </c>
      <c r="L13" s="38">
        <v>5.1899026563000001</v>
      </c>
    </row>
    <row r="14" spans="1:12" x14ac:dyDescent="0.25">
      <c r="A14" s="36" t="s">
        <v>237</v>
      </c>
      <c r="B14" s="36"/>
      <c r="C14" s="36" t="s">
        <v>601</v>
      </c>
      <c r="D14" s="38" t="s">
        <v>352</v>
      </c>
      <c r="E14" s="37">
        <v>20304</v>
      </c>
      <c r="F14" s="37">
        <v>7939</v>
      </c>
      <c r="G14" s="37">
        <v>3213</v>
      </c>
      <c r="H14" s="38" t="s">
        <v>352</v>
      </c>
      <c r="I14" s="38" t="s">
        <v>352</v>
      </c>
      <c r="J14" s="38" t="s">
        <v>352</v>
      </c>
      <c r="K14" s="38" t="s">
        <v>352</v>
      </c>
      <c r="L14" s="37">
        <v>31456</v>
      </c>
    </row>
    <row r="15" spans="1:12" x14ac:dyDescent="0.25">
      <c r="A15" s="36" t="s">
        <v>238</v>
      </c>
      <c r="B15" s="36" t="s">
        <v>548</v>
      </c>
      <c r="C15" s="36" t="s">
        <v>349</v>
      </c>
      <c r="D15" s="38" t="s">
        <v>352</v>
      </c>
      <c r="E15" s="37">
        <v>26896</v>
      </c>
      <c r="F15" s="37">
        <v>5869</v>
      </c>
      <c r="G15" s="37">
        <v>10</v>
      </c>
      <c r="H15" s="37">
        <v>295</v>
      </c>
      <c r="I15" s="38" t="s">
        <v>352</v>
      </c>
      <c r="J15" s="38" t="s">
        <v>352</v>
      </c>
      <c r="K15" s="38" t="s">
        <v>352</v>
      </c>
      <c r="L15" s="37">
        <v>33085</v>
      </c>
    </row>
    <row r="16" spans="1:12" x14ac:dyDescent="0.25">
      <c r="A16" s="36" t="s">
        <v>238</v>
      </c>
      <c r="B16" s="36" t="s">
        <v>552</v>
      </c>
      <c r="C16" s="36" t="s">
        <v>349</v>
      </c>
      <c r="D16" s="37">
        <v>36476</v>
      </c>
      <c r="E16" s="37">
        <v>59292</v>
      </c>
      <c r="F16" s="37">
        <v>22342</v>
      </c>
      <c r="G16" s="37">
        <v>4692</v>
      </c>
      <c r="H16" s="37">
        <v>17627</v>
      </c>
      <c r="I16" s="38" t="s">
        <v>352</v>
      </c>
      <c r="J16" s="38" t="s">
        <v>352</v>
      </c>
      <c r="K16" s="38" t="s">
        <v>352</v>
      </c>
      <c r="L16" s="37">
        <v>144918</v>
      </c>
    </row>
    <row r="17" spans="1:12" x14ac:dyDescent="0.25">
      <c r="A17" s="36" t="s">
        <v>238</v>
      </c>
      <c r="B17" s="36"/>
      <c r="C17" s="36" t="s">
        <v>599</v>
      </c>
      <c r="D17" s="37">
        <v>344778</v>
      </c>
      <c r="E17" s="37">
        <v>741094</v>
      </c>
      <c r="F17" s="37">
        <v>263762</v>
      </c>
      <c r="G17" s="37">
        <v>74082</v>
      </c>
      <c r="H17" s="37">
        <v>183033</v>
      </c>
      <c r="I17" s="38" t="s">
        <v>352</v>
      </c>
      <c r="J17" s="38" t="s">
        <v>352</v>
      </c>
      <c r="K17" s="38" t="s">
        <v>352</v>
      </c>
      <c r="L17" s="37">
        <v>1661938</v>
      </c>
    </row>
    <row r="18" spans="1:12" x14ac:dyDescent="0.25">
      <c r="A18" s="36" t="s">
        <v>238</v>
      </c>
      <c r="B18" s="36"/>
      <c r="C18" s="36" t="s">
        <v>244</v>
      </c>
      <c r="D18" s="38">
        <v>9.4521877398999994</v>
      </c>
      <c r="E18" s="38">
        <v>8.5985752076999997</v>
      </c>
      <c r="F18" s="38">
        <v>9.3496153981999992</v>
      </c>
      <c r="G18" s="38">
        <v>15.755423223999999</v>
      </c>
      <c r="H18" s="38">
        <v>10.212755273000001</v>
      </c>
      <c r="I18" s="38" t="s">
        <v>352</v>
      </c>
      <c r="J18" s="38" t="s">
        <v>352</v>
      </c>
      <c r="K18" s="38" t="s">
        <v>352</v>
      </c>
      <c r="L18" s="38">
        <v>9.3365729790999996</v>
      </c>
    </row>
    <row r="19" spans="1:12" x14ac:dyDescent="0.25">
      <c r="A19" s="36" t="s">
        <v>238</v>
      </c>
      <c r="B19" s="36"/>
      <c r="C19" s="36" t="s">
        <v>600</v>
      </c>
      <c r="D19" s="38">
        <v>6.2545783529000003</v>
      </c>
      <c r="E19" s="38">
        <v>5.7954587646000002</v>
      </c>
      <c r="F19" s="38">
        <v>6.4905178830999999</v>
      </c>
      <c r="G19" s="38">
        <v>10.019991492999999</v>
      </c>
      <c r="H19" s="38">
        <v>7.4859390692999996</v>
      </c>
      <c r="I19" s="38" t="s">
        <v>352</v>
      </c>
      <c r="J19" s="38" t="s">
        <v>352</v>
      </c>
      <c r="K19" s="38" t="s">
        <v>352</v>
      </c>
      <c r="L19" s="38">
        <v>6.3484997443999998</v>
      </c>
    </row>
    <row r="20" spans="1:12" x14ac:dyDescent="0.25">
      <c r="A20" s="52" t="s">
        <v>238</v>
      </c>
      <c r="B20" s="52"/>
      <c r="C20" s="52" t="s">
        <v>601</v>
      </c>
      <c r="D20" s="53">
        <v>228142</v>
      </c>
      <c r="E20" s="53">
        <v>499499</v>
      </c>
      <c r="F20" s="53">
        <v>183104</v>
      </c>
      <c r="G20" s="53">
        <v>47114</v>
      </c>
      <c r="H20" s="53">
        <v>134163</v>
      </c>
      <c r="I20" s="54" t="s">
        <v>352</v>
      </c>
      <c r="J20" s="54" t="s">
        <v>352</v>
      </c>
      <c r="K20" s="54" t="s">
        <v>352</v>
      </c>
      <c r="L20" s="53">
        <v>1130052</v>
      </c>
    </row>
    <row r="21" spans="1:12" x14ac:dyDescent="0.25">
      <c r="A21" s="76" t="s">
        <v>602</v>
      </c>
      <c r="B21" s="77"/>
      <c r="C21" s="77"/>
      <c r="D21" s="77"/>
      <c r="E21" s="77"/>
      <c r="F21" s="77"/>
      <c r="G21" s="77"/>
      <c r="H21" s="77"/>
      <c r="I21" s="77"/>
      <c r="J21" s="77"/>
      <c r="K21" s="77"/>
      <c r="L21" s="77"/>
    </row>
    <row r="22" spans="1:12" x14ac:dyDescent="0.25">
      <c r="A22" s="45"/>
      <c r="B22" s="33"/>
      <c r="C22" s="33"/>
      <c r="D22" s="33"/>
      <c r="E22" s="33"/>
      <c r="F22" s="33"/>
      <c r="G22" s="33"/>
      <c r="H22" s="33"/>
      <c r="I22" s="33"/>
      <c r="J22" s="33"/>
      <c r="K22" s="33"/>
      <c r="L22" s="33"/>
    </row>
    <row r="23" spans="1:12" x14ac:dyDescent="0.25">
      <c r="A23" s="33" t="s">
        <v>239</v>
      </c>
      <c r="B23" s="33"/>
      <c r="C23" s="33"/>
      <c r="D23" s="33"/>
      <c r="E23" s="33"/>
      <c r="F23" s="33"/>
      <c r="G23" s="33"/>
      <c r="H23" s="33"/>
      <c r="I23" s="33"/>
      <c r="J23" s="33"/>
      <c r="K23" s="33"/>
      <c r="L23" s="33"/>
    </row>
    <row r="24" spans="1:12" x14ac:dyDescent="0.25">
      <c r="A24" s="46" t="s">
        <v>212</v>
      </c>
      <c r="B24" s="33"/>
      <c r="C24" s="33"/>
      <c r="D24" s="33"/>
      <c r="E24" s="33"/>
      <c r="F24" s="33"/>
      <c r="G24" s="33"/>
      <c r="H24" s="33"/>
      <c r="I24" s="33"/>
      <c r="J24" s="33"/>
      <c r="K24" s="33"/>
      <c r="L24" s="33"/>
    </row>
    <row r="25" spans="1:12" x14ac:dyDescent="0.25">
      <c r="A25" s="33"/>
      <c r="B25" s="33"/>
      <c r="C25" s="33"/>
      <c r="D25" s="33"/>
      <c r="E25" s="33"/>
      <c r="F25" s="33"/>
      <c r="G25" s="33"/>
      <c r="H25" s="33"/>
      <c r="I25" s="33"/>
      <c r="J25" s="33"/>
      <c r="K25" s="33"/>
      <c r="L25" s="33"/>
    </row>
    <row r="26" spans="1:12" x14ac:dyDescent="0.25">
      <c r="A26" s="46" t="s">
        <v>70</v>
      </c>
      <c r="B26" s="33"/>
      <c r="C26" s="33"/>
      <c r="D26" s="33"/>
      <c r="E26" s="33"/>
      <c r="F26" s="33"/>
      <c r="G26" s="33"/>
      <c r="H26" s="33"/>
      <c r="I26" s="33"/>
      <c r="J26" s="33"/>
      <c r="K26" s="33"/>
      <c r="L26" s="33"/>
    </row>
    <row r="27" spans="1:12" x14ac:dyDescent="0.25">
      <c r="A27" s="33"/>
      <c r="B27" s="33"/>
      <c r="C27" s="33"/>
      <c r="D27" s="33"/>
      <c r="E27" s="33"/>
      <c r="F27" s="33"/>
      <c r="G27" s="33"/>
      <c r="H27" s="33"/>
      <c r="I27" s="33"/>
      <c r="J27" s="33"/>
      <c r="K27" s="33"/>
      <c r="L27" s="33"/>
    </row>
    <row r="28" spans="1:12" x14ac:dyDescent="0.25">
      <c r="A28" s="46" t="s">
        <v>240</v>
      </c>
      <c r="B28" s="33"/>
      <c r="C28" s="33"/>
      <c r="D28" s="33"/>
      <c r="E28" s="33"/>
      <c r="F28" s="33"/>
      <c r="G28" s="33"/>
      <c r="H28" s="33"/>
      <c r="I28" s="33"/>
      <c r="J28" s="33"/>
      <c r="K28" s="33"/>
      <c r="L28" s="33"/>
    </row>
  </sheetData>
  <mergeCells count="2">
    <mergeCell ref="A21:L21"/>
    <mergeCell ref="A1:L1"/>
  </mergeCells>
  <hyperlinks>
    <hyperlink ref="A24" r:id="rId1" xr:uid="{00000000-0004-0000-4500-000000000000}"/>
    <hyperlink ref="A26" location="'Technical specifications'!A1" display="Technical specifications" xr:uid="{00000000-0004-0000-4500-000001000000}"/>
    <hyperlink ref="A28" location="Contents!A1" display="Back to contents" xr:uid="{00000000-0004-0000-4500-000002000000}"/>
  </hyperlink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C0105-F83B-4537-ADC4-B7E4EFEAEBA5}">
  <dimension ref="A2:K386"/>
  <sheetViews>
    <sheetView zoomScaleNormal="100" workbookViewId="0"/>
  </sheetViews>
  <sheetFormatPr defaultColWidth="9.140625" defaultRowHeight="15" x14ac:dyDescent="0.25"/>
  <cols>
    <col min="1" max="1" width="9.140625" style="1" customWidth="1"/>
    <col min="2" max="2" width="11.85546875" style="1" customWidth="1"/>
    <col min="3" max="3" width="74" style="1" customWidth="1"/>
    <col min="4" max="5" width="9.140625" style="1" customWidth="1"/>
    <col min="6" max="16384" width="9.140625" style="1"/>
  </cols>
  <sheetData>
    <row r="2" spans="2:2" ht="20.25" customHeight="1" x14ac:dyDescent="0.3">
      <c r="B2" s="8" t="s">
        <v>71</v>
      </c>
    </row>
    <row r="3" spans="2:2" ht="18" customHeight="1" x14ac:dyDescent="0.25">
      <c r="B3" s="9"/>
    </row>
    <row r="4" spans="2:2" ht="15.75" customHeight="1" x14ac:dyDescent="0.25">
      <c r="B4" s="10" t="s">
        <v>72</v>
      </c>
    </row>
    <row r="5" spans="2:2" x14ac:dyDescent="0.25">
      <c r="B5" s="11" t="s">
        <v>73</v>
      </c>
    </row>
    <row r="6" spans="2:2" x14ac:dyDescent="0.25">
      <c r="B6" s="11" t="s">
        <v>74</v>
      </c>
    </row>
    <row r="7" spans="2:2" x14ac:dyDescent="0.25">
      <c r="B7" s="11" t="s">
        <v>75</v>
      </c>
    </row>
    <row r="8" spans="2:2" x14ac:dyDescent="0.25">
      <c r="B8" s="11"/>
    </row>
    <row r="9" spans="2:2" ht="15.75" customHeight="1" x14ac:dyDescent="0.25">
      <c r="B9" s="10" t="s">
        <v>76</v>
      </c>
    </row>
    <row r="10" spans="2:2" x14ac:dyDescent="0.25">
      <c r="B10" s="11" t="s">
        <v>77</v>
      </c>
    </row>
    <row r="11" spans="2:2" x14ac:dyDescent="0.25">
      <c r="B11" s="11"/>
    </row>
    <row r="12" spans="2:2" ht="15.75" customHeight="1" x14ac:dyDescent="0.25">
      <c r="B12" s="10" t="s">
        <v>78</v>
      </c>
    </row>
    <row r="13" spans="2:2" x14ac:dyDescent="0.25">
      <c r="B13" s="11" t="s">
        <v>79</v>
      </c>
    </row>
    <row r="14" spans="2:2" x14ac:dyDescent="0.25">
      <c r="B14" s="11" t="s">
        <v>80</v>
      </c>
    </row>
    <row r="15" spans="2:2" x14ac:dyDescent="0.25">
      <c r="B15" s="11"/>
    </row>
    <row r="16" spans="2:2" ht="15.75" customHeight="1" x14ac:dyDescent="0.25">
      <c r="B16" s="10" t="s">
        <v>81</v>
      </c>
    </row>
    <row r="17" spans="2:2" x14ac:dyDescent="0.25">
      <c r="B17" s="11" t="s">
        <v>82</v>
      </c>
    </row>
    <row r="18" spans="2:2" x14ac:dyDescent="0.25">
      <c r="B18" s="11" t="s">
        <v>83</v>
      </c>
    </row>
    <row r="19" spans="2:2" x14ac:dyDescent="0.25">
      <c r="B19" s="11" t="s">
        <v>84</v>
      </c>
    </row>
    <row r="20" spans="2:2" x14ac:dyDescent="0.25">
      <c r="B20" s="11" t="s">
        <v>85</v>
      </c>
    </row>
    <row r="21" spans="2:2" x14ac:dyDescent="0.25">
      <c r="B21" s="11"/>
    </row>
    <row r="22" spans="2:2" ht="15.75" customHeight="1" x14ac:dyDescent="0.25">
      <c r="B22" s="10" t="s">
        <v>86</v>
      </c>
    </row>
    <row r="23" spans="2:2" x14ac:dyDescent="0.25">
      <c r="B23" s="11" t="s">
        <v>87</v>
      </c>
    </row>
    <row r="24" spans="2:2" x14ac:dyDescent="0.25">
      <c r="B24" s="11"/>
    </row>
    <row r="25" spans="2:2" ht="15.75" customHeight="1" x14ac:dyDescent="0.25">
      <c r="B25" s="10" t="s">
        <v>88</v>
      </c>
    </row>
    <row r="26" spans="2:2" x14ac:dyDescent="0.25">
      <c r="B26" s="11" t="s">
        <v>89</v>
      </c>
    </row>
    <row r="27" spans="2:2" x14ac:dyDescent="0.25">
      <c r="B27" s="11" t="s">
        <v>90</v>
      </c>
    </row>
    <row r="28" spans="2:2" x14ac:dyDescent="0.25">
      <c r="B28" s="11" t="s">
        <v>91</v>
      </c>
    </row>
    <row r="29" spans="2:2" x14ac:dyDescent="0.25">
      <c r="B29" s="11" t="s">
        <v>92</v>
      </c>
    </row>
    <row r="30" spans="2:2" x14ac:dyDescent="0.25">
      <c r="B30" s="11" t="s">
        <v>93</v>
      </c>
    </row>
    <row r="31" spans="2:2" x14ac:dyDescent="0.25">
      <c r="B31" s="11" t="s">
        <v>94</v>
      </c>
    </row>
    <row r="32" spans="2:2" x14ac:dyDescent="0.25">
      <c r="B32" s="11" t="s">
        <v>95</v>
      </c>
    </row>
    <row r="33" spans="2:2" x14ac:dyDescent="0.25">
      <c r="B33" s="11" t="s">
        <v>96</v>
      </c>
    </row>
    <row r="34" spans="2:2" x14ac:dyDescent="0.25">
      <c r="B34" s="11"/>
    </row>
    <row r="35" spans="2:2" ht="15.75" customHeight="1" x14ac:dyDescent="0.25">
      <c r="B35" s="10" t="s">
        <v>97</v>
      </c>
    </row>
    <row r="36" spans="2:2" x14ac:dyDescent="0.25">
      <c r="B36" s="11" t="s">
        <v>98</v>
      </c>
    </row>
    <row r="37" spans="2:2" x14ac:dyDescent="0.25">
      <c r="B37" s="11" t="s">
        <v>99</v>
      </c>
    </row>
    <row r="38" spans="2:2" x14ac:dyDescent="0.25">
      <c r="B38" s="11" t="s">
        <v>100</v>
      </c>
    </row>
    <row r="39" spans="2:2" x14ac:dyDescent="0.25">
      <c r="B39" s="11" t="s">
        <v>101</v>
      </c>
    </row>
    <row r="40" spans="2:2" x14ac:dyDescent="0.25">
      <c r="B40" s="28" t="s">
        <v>102</v>
      </c>
    </row>
    <row r="41" spans="2:2" x14ac:dyDescent="0.25">
      <c r="B41" s="11" t="s">
        <v>103</v>
      </c>
    </row>
    <row r="42" spans="2:2" x14ac:dyDescent="0.25">
      <c r="B42" s="11" t="s">
        <v>104</v>
      </c>
    </row>
    <row r="43" spans="2:2" x14ac:dyDescent="0.25">
      <c r="B43" s="11" t="s">
        <v>105</v>
      </c>
    </row>
    <row r="44" spans="2:2" x14ac:dyDescent="0.25">
      <c r="B44" s="11" t="s">
        <v>106</v>
      </c>
    </row>
    <row r="45" spans="2:2" x14ac:dyDescent="0.25">
      <c r="B45" s="11" t="s">
        <v>107</v>
      </c>
    </row>
    <row r="46" spans="2:2" x14ac:dyDescent="0.25">
      <c r="B46" s="11" t="s">
        <v>108</v>
      </c>
    </row>
    <row r="47" spans="2:2" x14ac:dyDescent="0.25">
      <c r="B47" s="11" t="s">
        <v>109</v>
      </c>
    </row>
    <row r="48" spans="2:2" x14ac:dyDescent="0.25">
      <c r="B48" s="11" t="s">
        <v>110</v>
      </c>
    </row>
    <row r="49" spans="2:3" x14ac:dyDescent="0.25">
      <c r="B49" s="11" t="s">
        <v>111</v>
      </c>
    </row>
    <row r="50" spans="2:3" x14ac:dyDescent="0.25">
      <c r="B50" s="11"/>
    </row>
    <row r="51" spans="2:3" ht="15.75" customHeight="1" x14ac:dyDescent="0.25">
      <c r="B51" s="10" t="s">
        <v>112</v>
      </c>
      <c r="C51" s="12"/>
    </row>
    <row r="52" spans="2:3" ht="16.5" customHeight="1" x14ac:dyDescent="0.3">
      <c r="B52" s="13" t="s">
        <v>607</v>
      </c>
      <c r="C52" s="14"/>
    </row>
    <row r="53" spans="2:3" x14ac:dyDescent="0.25">
      <c r="B53" s="11" t="s">
        <v>606</v>
      </c>
    </row>
    <row r="54" spans="2:3" ht="16.5" customHeight="1" x14ac:dyDescent="0.3">
      <c r="B54" s="11" t="s">
        <v>609</v>
      </c>
      <c r="C54" s="14"/>
    </row>
    <row r="55" spans="2:3" x14ac:dyDescent="0.25">
      <c r="B55" s="11"/>
    </row>
    <row r="56" spans="2:3" ht="15.75" customHeight="1" x14ac:dyDescent="0.25">
      <c r="B56" s="10" t="s">
        <v>113</v>
      </c>
    </row>
    <row r="57" spans="2:3" x14ac:dyDescent="0.25">
      <c r="B57" s="11" t="s">
        <v>114</v>
      </c>
    </row>
    <row r="58" spans="2:3" x14ac:dyDescent="0.25">
      <c r="B58" s="11" t="s">
        <v>605</v>
      </c>
    </row>
    <row r="59" spans="2:3" x14ac:dyDescent="0.25">
      <c r="B59" s="11" t="s">
        <v>115</v>
      </c>
    </row>
    <row r="60" spans="2:3" x14ac:dyDescent="0.25">
      <c r="B60" s="11" t="s">
        <v>116</v>
      </c>
    </row>
    <row r="61" spans="2:3" x14ac:dyDescent="0.25">
      <c r="B61" s="11" t="s">
        <v>610</v>
      </c>
    </row>
    <row r="62" spans="2:3" x14ac:dyDescent="0.25">
      <c r="B62" s="11"/>
    </row>
    <row r="63" spans="2:3" s="15" customFormat="1" ht="15.75" customHeight="1" x14ac:dyDescent="0.25">
      <c r="B63" s="10" t="s">
        <v>117</v>
      </c>
    </row>
    <row r="64" spans="2:3" s="15" customFormat="1" x14ac:dyDescent="0.25">
      <c r="B64" s="11" t="s">
        <v>118</v>
      </c>
    </row>
    <row r="65" spans="2:3" s="15" customFormat="1" x14ac:dyDescent="0.25">
      <c r="B65" s="11" t="s">
        <v>119</v>
      </c>
    </row>
    <row r="66" spans="2:3" s="15" customFormat="1" x14ac:dyDescent="0.25">
      <c r="B66" s="13" t="s">
        <v>120</v>
      </c>
    </row>
    <row r="67" spans="2:3" s="15" customFormat="1" x14ac:dyDescent="0.25">
      <c r="B67" s="13" t="s">
        <v>121</v>
      </c>
    </row>
    <row r="68" spans="2:3" s="15" customFormat="1" x14ac:dyDescent="0.25">
      <c r="B68" s="13"/>
      <c r="C68" s="11" t="s">
        <v>122</v>
      </c>
    </row>
    <row r="69" spans="2:3" s="15" customFormat="1" x14ac:dyDescent="0.25">
      <c r="B69" s="13"/>
      <c r="C69" s="11" t="s">
        <v>123</v>
      </c>
    </row>
    <row r="70" spans="2:3" s="15" customFormat="1" x14ac:dyDescent="0.25">
      <c r="B70" s="13" t="s">
        <v>124</v>
      </c>
    </row>
    <row r="71" spans="2:3" s="15" customFormat="1" x14ac:dyDescent="0.25">
      <c r="B71" s="13" t="s">
        <v>125</v>
      </c>
    </row>
    <row r="72" spans="2:3" s="15" customFormat="1" x14ac:dyDescent="0.25">
      <c r="B72" s="13" t="s">
        <v>126</v>
      </c>
    </row>
    <row r="73" spans="2:3" s="15" customFormat="1" x14ac:dyDescent="0.25">
      <c r="B73" s="13" t="s">
        <v>127</v>
      </c>
    </row>
    <row r="74" spans="2:3" s="15" customFormat="1" x14ac:dyDescent="0.25">
      <c r="B74" s="11" t="s">
        <v>128</v>
      </c>
    </row>
    <row r="75" spans="2:3" s="15" customFormat="1" x14ac:dyDescent="0.25">
      <c r="B75" s="11"/>
    </row>
    <row r="76" spans="2:3" ht="15.75" customHeight="1" x14ac:dyDescent="0.25">
      <c r="B76" s="10" t="s">
        <v>129</v>
      </c>
    </row>
    <row r="77" spans="2:3" x14ac:dyDescent="0.25">
      <c r="B77" s="13" t="s">
        <v>130</v>
      </c>
    </row>
    <row r="78" spans="2:3" x14ac:dyDescent="0.25">
      <c r="B78" s="11" t="s">
        <v>131</v>
      </c>
    </row>
    <row r="79" spans="2:3" x14ac:dyDescent="0.25">
      <c r="B79" s="11" t="s">
        <v>132</v>
      </c>
    </row>
    <row r="80" spans="2:3" x14ac:dyDescent="0.25">
      <c r="B80" s="11" t="s">
        <v>133</v>
      </c>
    </row>
    <row r="81" spans="1:9" s="15" customFormat="1" x14ac:dyDescent="0.25">
      <c r="B81" s="16"/>
    </row>
    <row r="82" spans="1:9" ht="15.75" customHeight="1" x14ac:dyDescent="0.25">
      <c r="A82" s="4"/>
      <c r="B82" s="10" t="s">
        <v>134</v>
      </c>
    </row>
    <row r="83" spans="1:9" x14ac:dyDescent="0.25">
      <c r="B83" s="5" t="s">
        <v>2</v>
      </c>
    </row>
    <row r="84" spans="1:9" x14ac:dyDescent="0.25">
      <c r="B84" s="11" t="s">
        <v>114</v>
      </c>
    </row>
    <row r="85" spans="1:9" x14ac:dyDescent="0.25">
      <c r="B85" s="11" t="s">
        <v>135</v>
      </c>
    </row>
    <row r="86" spans="1:9" x14ac:dyDescent="0.25">
      <c r="B86" s="13" t="s">
        <v>136</v>
      </c>
      <c r="C86" s="6"/>
      <c r="D86" s="6"/>
      <c r="E86" s="6"/>
      <c r="F86" s="6"/>
      <c r="G86" s="6"/>
      <c r="H86" s="6"/>
      <c r="I86" s="6"/>
    </row>
    <row r="87" spans="1:9" x14ac:dyDescent="0.25">
      <c r="B87" s="13" t="s">
        <v>137</v>
      </c>
      <c r="C87" s="6"/>
      <c r="D87" s="6"/>
      <c r="E87" s="6"/>
      <c r="F87" s="6"/>
      <c r="G87" s="6"/>
      <c r="H87" s="6"/>
      <c r="I87" s="6"/>
    </row>
    <row r="88" spans="1:9" x14ac:dyDescent="0.25">
      <c r="B88" s="11"/>
    </row>
    <row r="89" spans="1:9" x14ac:dyDescent="0.25">
      <c r="B89" s="4" t="s">
        <v>3</v>
      </c>
      <c r="D89" s="11"/>
    </row>
    <row r="90" spans="1:9" x14ac:dyDescent="0.25">
      <c r="B90" s="11" t="s">
        <v>138</v>
      </c>
      <c r="D90" s="11"/>
    </row>
    <row r="91" spans="1:9" x14ac:dyDescent="0.25">
      <c r="B91" s="11" t="s">
        <v>139</v>
      </c>
    </row>
    <row r="92" spans="1:9" x14ac:dyDescent="0.25">
      <c r="B92" s="11" t="s">
        <v>140</v>
      </c>
    </row>
    <row r="93" spans="1:9" x14ac:dyDescent="0.25">
      <c r="B93" s="11" t="s">
        <v>141</v>
      </c>
    </row>
    <row r="94" spans="1:9" x14ac:dyDescent="0.25">
      <c r="B94" s="11" t="s">
        <v>142</v>
      </c>
    </row>
    <row r="95" spans="1:9" x14ac:dyDescent="0.25">
      <c r="B95" s="5"/>
    </row>
    <row r="96" spans="1:9" x14ac:dyDescent="0.25">
      <c r="B96" s="4" t="s">
        <v>143</v>
      </c>
    </row>
    <row r="97" spans="2:2" x14ac:dyDescent="0.25">
      <c r="B97" s="11" t="s">
        <v>144</v>
      </c>
    </row>
    <row r="98" spans="2:2" x14ac:dyDescent="0.25">
      <c r="B98" s="11"/>
    </row>
    <row r="99" spans="2:2" x14ac:dyDescent="0.25">
      <c r="B99" s="4" t="s">
        <v>5</v>
      </c>
    </row>
    <row r="100" spans="2:2" x14ac:dyDescent="0.25">
      <c r="B100" s="11" t="s">
        <v>144</v>
      </c>
    </row>
    <row r="101" spans="2:2" x14ac:dyDescent="0.25">
      <c r="B101" s="11" t="s">
        <v>140</v>
      </c>
    </row>
    <row r="102" spans="2:2" x14ac:dyDescent="0.25">
      <c r="B102" s="11" t="s">
        <v>145</v>
      </c>
    </row>
    <row r="103" spans="2:2" x14ac:dyDescent="0.25">
      <c r="B103" s="11"/>
    </row>
    <row r="104" spans="2:2" x14ac:dyDescent="0.25">
      <c r="B104" s="4" t="s">
        <v>6</v>
      </c>
    </row>
    <row r="105" spans="2:2" x14ac:dyDescent="0.25">
      <c r="B105" s="11" t="s">
        <v>144</v>
      </c>
    </row>
    <row r="106" spans="2:2" x14ac:dyDescent="0.25">
      <c r="B106" s="11" t="s">
        <v>140</v>
      </c>
    </row>
    <row r="107" spans="2:2" x14ac:dyDescent="0.25">
      <c r="B107" s="11" t="s">
        <v>145</v>
      </c>
    </row>
    <row r="108" spans="2:2" x14ac:dyDescent="0.25">
      <c r="B108" s="11"/>
    </row>
    <row r="109" spans="2:2" x14ac:dyDescent="0.25">
      <c r="B109" s="5" t="s">
        <v>146</v>
      </c>
    </row>
    <row r="110" spans="2:2" x14ac:dyDescent="0.25">
      <c r="B110" s="11" t="s">
        <v>114</v>
      </c>
    </row>
    <row r="111" spans="2:2" x14ac:dyDescent="0.25">
      <c r="B111" s="11" t="s">
        <v>147</v>
      </c>
    </row>
    <row r="112" spans="2:2" x14ac:dyDescent="0.25">
      <c r="B112" s="11" t="s">
        <v>148</v>
      </c>
    </row>
    <row r="113" spans="2:3" x14ac:dyDescent="0.25">
      <c r="B113" s="11" t="s">
        <v>149</v>
      </c>
    </row>
    <row r="114" spans="2:3" x14ac:dyDescent="0.25">
      <c r="B114" s="5"/>
    </row>
    <row r="115" spans="2:3" x14ac:dyDescent="0.25">
      <c r="B115" s="4" t="s">
        <v>150</v>
      </c>
    </row>
    <row r="116" spans="2:3" x14ac:dyDescent="0.25">
      <c r="B116" s="11" t="s">
        <v>114</v>
      </c>
    </row>
    <row r="117" spans="2:3" x14ac:dyDescent="0.25">
      <c r="B117" s="11" t="s">
        <v>151</v>
      </c>
    </row>
    <row r="118" spans="2:3" x14ac:dyDescent="0.25">
      <c r="B118" s="11" t="s">
        <v>148</v>
      </c>
    </row>
    <row r="119" spans="2:3" x14ac:dyDescent="0.25">
      <c r="B119" s="11" t="s">
        <v>152</v>
      </c>
    </row>
    <row r="120" spans="2:3" x14ac:dyDescent="0.25">
      <c r="B120" s="11"/>
    </row>
    <row r="121" spans="2:3" x14ac:dyDescent="0.25">
      <c r="B121" s="4" t="s">
        <v>153</v>
      </c>
    </row>
    <row r="122" spans="2:3" x14ac:dyDescent="0.25">
      <c r="B122" s="11" t="s">
        <v>114</v>
      </c>
    </row>
    <row r="123" spans="2:3" x14ac:dyDescent="0.25">
      <c r="B123" s="11" t="s">
        <v>154</v>
      </c>
    </row>
    <row r="124" spans="2:3" x14ac:dyDescent="0.25">
      <c r="B124" s="11"/>
    </row>
    <row r="125" spans="2:3" x14ac:dyDescent="0.25">
      <c r="B125" s="4" t="s">
        <v>10</v>
      </c>
      <c r="C125" s="4"/>
    </row>
    <row r="126" spans="2:3" x14ac:dyDescent="0.25">
      <c r="B126" s="11" t="s">
        <v>155</v>
      </c>
      <c r="C126" s="4"/>
    </row>
    <row r="127" spans="2:3" x14ac:dyDescent="0.25">
      <c r="C127" s="4"/>
    </row>
    <row r="128" spans="2:3" x14ac:dyDescent="0.25">
      <c r="B128" s="4" t="s">
        <v>11</v>
      </c>
      <c r="C128" s="4"/>
    </row>
    <row r="129" spans="2:3" x14ac:dyDescent="0.25">
      <c r="B129" s="11" t="s">
        <v>156</v>
      </c>
      <c r="C129" s="4"/>
    </row>
    <row r="130" spans="2:3" x14ac:dyDescent="0.25">
      <c r="C130" s="4"/>
    </row>
    <row r="131" spans="2:3" x14ac:dyDescent="0.25">
      <c r="B131" s="4" t="s">
        <v>12</v>
      </c>
      <c r="C131" s="4"/>
    </row>
    <row r="132" spans="2:3" x14ac:dyDescent="0.25">
      <c r="B132" s="11" t="s">
        <v>157</v>
      </c>
      <c r="C132" s="4"/>
    </row>
    <row r="133" spans="2:3" x14ac:dyDescent="0.25">
      <c r="B133" s="11" t="s">
        <v>158</v>
      </c>
      <c r="C133" s="4"/>
    </row>
    <row r="134" spans="2:3" x14ac:dyDescent="0.25">
      <c r="C134" s="4"/>
    </row>
    <row r="135" spans="2:3" x14ac:dyDescent="0.25">
      <c r="B135" s="4" t="s">
        <v>13</v>
      </c>
      <c r="C135" s="4"/>
    </row>
    <row r="136" spans="2:3" x14ac:dyDescent="0.25">
      <c r="B136" s="11" t="s">
        <v>155</v>
      </c>
      <c r="C136" s="4"/>
    </row>
    <row r="137" spans="2:3" x14ac:dyDescent="0.25">
      <c r="B137" s="11" t="s">
        <v>159</v>
      </c>
      <c r="C137" s="4"/>
    </row>
    <row r="138" spans="2:3" x14ac:dyDescent="0.25">
      <c r="C138" s="4"/>
    </row>
    <row r="139" spans="2:3" x14ac:dyDescent="0.25">
      <c r="B139" s="4" t="s">
        <v>14</v>
      </c>
      <c r="C139" s="4"/>
    </row>
    <row r="140" spans="2:3" x14ac:dyDescent="0.25">
      <c r="B140" s="11" t="s">
        <v>156</v>
      </c>
    </row>
    <row r="141" spans="2:3" x14ac:dyDescent="0.25">
      <c r="B141" s="11" t="s">
        <v>159</v>
      </c>
    </row>
    <row r="143" spans="2:3" x14ac:dyDescent="0.25">
      <c r="B143" s="4" t="s">
        <v>15</v>
      </c>
    </row>
    <row r="144" spans="2:3" x14ac:dyDescent="0.25">
      <c r="B144" s="11" t="s">
        <v>155</v>
      </c>
    </row>
    <row r="145" spans="2:2" x14ac:dyDescent="0.25">
      <c r="B145" s="11" t="s">
        <v>160</v>
      </c>
    </row>
    <row r="146" spans="2:2" x14ac:dyDescent="0.25">
      <c r="B146" s="11" t="s">
        <v>161</v>
      </c>
    </row>
    <row r="148" spans="2:2" x14ac:dyDescent="0.25">
      <c r="B148" s="4" t="s">
        <v>16</v>
      </c>
    </row>
    <row r="149" spans="2:2" x14ac:dyDescent="0.25">
      <c r="B149" s="11" t="s">
        <v>156</v>
      </c>
    </row>
    <row r="150" spans="2:2" x14ac:dyDescent="0.25">
      <c r="B150" s="11" t="s">
        <v>160</v>
      </c>
    </row>
    <row r="151" spans="2:2" x14ac:dyDescent="0.25">
      <c r="B151" s="11" t="s">
        <v>161</v>
      </c>
    </row>
    <row r="153" spans="2:2" x14ac:dyDescent="0.25">
      <c r="B153" s="4" t="s">
        <v>17</v>
      </c>
    </row>
    <row r="154" spans="2:2" x14ac:dyDescent="0.25">
      <c r="B154" s="11" t="s">
        <v>157</v>
      </c>
    </row>
    <row r="155" spans="2:2" x14ac:dyDescent="0.25">
      <c r="B155" s="11" t="s">
        <v>158</v>
      </c>
    </row>
    <row r="156" spans="2:2" x14ac:dyDescent="0.25">
      <c r="B156" s="4"/>
    </row>
    <row r="157" spans="2:2" x14ac:dyDescent="0.25">
      <c r="B157" s="4" t="s">
        <v>18</v>
      </c>
    </row>
    <row r="158" spans="2:2" x14ac:dyDescent="0.25">
      <c r="B158" s="11" t="s">
        <v>157</v>
      </c>
    </row>
    <row r="159" spans="2:2" x14ac:dyDescent="0.25">
      <c r="B159" s="11" t="s">
        <v>162</v>
      </c>
    </row>
    <row r="160" spans="2:2" x14ac:dyDescent="0.25">
      <c r="B160" s="11" t="s">
        <v>611</v>
      </c>
    </row>
    <row r="162" spans="2:2" x14ac:dyDescent="0.25">
      <c r="B162" s="4" t="s">
        <v>19</v>
      </c>
    </row>
    <row r="163" spans="2:2" x14ac:dyDescent="0.25">
      <c r="B163" s="11" t="s">
        <v>163</v>
      </c>
    </row>
    <row r="164" spans="2:2" x14ac:dyDescent="0.25">
      <c r="B164" s="11" t="s">
        <v>164</v>
      </c>
    </row>
    <row r="165" spans="2:2" x14ac:dyDescent="0.25">
      <c r="B165" s="11" t="s">
        <v>165</v>
      </c>
    </row>
    <row r="166" spans="2:2" x14ac:dyDescent="0.25">
      <c r="B166" s="11" t="s">
        <v>166</v>
      </c>
    </row>
    <row r="167" spans="2:2" x14ac:dyDescent="0.25">
      <c r="B167" s="11"/>
    </row>
    <row r="168" spans="2:2" ht="15" customHeight="1" x14ac:dyDescent="0.25">
      <c r="B168" s="4" t="s">
        <v>20</v>
      </c>
    </row>
    <row r="169" spans="2:2" ht="15" customHeight="1" x14ac:dyDescent="0.25">
      <c r="B169" s="11" t="s">
        <v>163</v>
      </c>
    </row>
    <row r="170" spans="2:2" ht="15" customHeight="1" x14ac:dyDescent="0.25">
      <c r="B170" s="11" t="s">
        <v>158</v>
      </c>
    </row>
    <row r="171" spans="2:2" ht="15" customHeight="1" x14ac:dyDescent="0.25">
      <c r="B171" s="11"/>
    </row>
    <row r="172" spans="2:2" ht="15" customHeight="1" x14ac:dyDescent="0.25">
      <c r="B172" s="4" t="s">
        <v>21</v>
      </c>
    </row>
    <row r="173" spans="2:2" ht="15" customHeight="1" x14ac:dyDescent="0.25">
      <c r="B173" s="11" t="s">
        <v>163</v>
      </c>
    </row>
    <row r="174" spans="2:2" ht="15" customHeight="1" x14ac:dyDescent="0.25">
      <c r="B174" s="11" t="s">
        <v>167</v>
      </c>
    </row>
    <row r="175" spans="2:2" ht="15" customHeight="1" x14ac:dyDescent="0.25">
      <c r="B175" s="11" t="s">
        <v>168</v>
      </c>
    </row>
    <row r="176" spans="2:2" ht="15" customHeight="1" x14ac:dyDescent="0.25">
      <c r="B176" s="11" t="s">
        <v>169</v>
      </c>
    </row>
    <row r="177" spans="2:11" ht="15" customHeight="1" x14ac:dyDescent="0.25">
      <c r="B177" s="11"/>
    </row>
    <row r="178" spans="2:11" ht="15" customHeight="1" x14ac:dyDescent="0.25">
      <c r="B178" s="4" t="s">
        <v>22</v>
      </c>
      <c r="C178" s="6"/>
      <c r="D178" s="6"/>
      <c r="E178" s="6"/>
      <c r="F178" s="6"/>
      <c r="G178" s="6"/>
      <c r="H178" s="6"/>
      <c r="I178" s="6"/>
      <c r="J178" s="6"/>
      <c r="K178" s="6"/>
    </row>
    <row r="179" spans="2:11" ht="15" customHeight="1" x14ac:dyDescent="0.25">
      <c r="B179" s="11" t="s">
        <v>163</v>
      </c>
    </row>
    <row r="180" spans="2:11" ht="15" customHeight="1" x14ac:dyDescent="0.25">
      <c r="B180" s="11" t="s">
        <v>170</v>
      </c>
      <c r="C180" s="6"/>
      <c r="D180" s="6"/>
      <c r="E180" s="6"/>
      <c r="F180" s="6"/>
      <c r="G180" s="6"/>
      <c r="H180" s="6"/>
      <c r="I180" s="6"/>
      <c r="J180" s="6"/>
      <c r="K180" s="6"/>
    </row>
    <row r="181" spans="2:11" ht="15" customHeight="1" x14ac:dyDescent="0.25">
      <c r="B181" s="11"/>
    </row>
    <row r="182" spans="2:11" ht="15" customHeight="1" x14ac:dyDescent="0.25">
      <c r="B182" s="4" t="s">
        <v>23</v>
      </c>
    </row>
    <row r="183" spans="2:11" x14ac:dyDescent="0.25">
      <c r="B183" s="11" t="s">
        <v>163</v>
      </c>
      <c r="D183" s="6"/>
      <c r="E183" s="6"/>
      <c r="F183" s="6"/>
      <c r="G183" s="6"/>
      <c r="H183" s="6"/>
      <c r="I183" s="6"/>
    </row>
    <row r="184" spans="2:11" x14ac:dyDescent="0.25">
      <c r="B184" s="11"/>
      <c r="C184" s="11"/>
      <c r="D184" s="6"/>
      <c r="E184" s="6"/>
      <c r="F184" s="6"/>
      <c r="G184" s="6"/>
      <c r="H184" s="6"/>
      <c r="I184" s="6"/>
    </row>
    <row r="185" spans="2:11" x14ac:dyDescent="0.25">
      <c r="B185" s="4" t="s">
        <v>24</v>
      </c>
    </row>
    <row r="186" spans="2:11" x14ac:dyDescent="0.25">
      <c r="B186" s="11" t="s">
        <v>163</v>
      </c>
    </row>
    <row r="187" spans="2:11" x14ac:dyDescent="0.25">
      <c r="B187" s="11"/>
    </row>
    <row r="188" spans="2:11" x14ac:dyDescent="0.25">
      <c r="B188" s="4" t="s">
        <v>25</v>
      </c>
    </row>
    <row r="189" spans="2:11" x14ac:dyDescent="0.25">
      <c r="B189" s="11" t="s">
        <v>163</v>
      </c>
    </row>
    <row r="190" spans="2:11" x14ac:dyDescent="0.25">
      <c r="B190" s="11" t="s">
        <v>159</v>
      </c>
    </row>
    <row r="191" spans="2:11" x14ac:dyDescent="0.25">
      <c r="B191" s="11"/>
    </row>
    <row r="192" spans="2:11" x14ac:dyDescent="0.25">
      <c r="B192" s="4" t="s">
        <v>26</v>
      </c>
    </row>
    <row r="193" spans="2:3" x14ac:dyDescent="0.25">
      <c r="B193" s="11" t="s">
        <v>163</v>
      </c>
    </row>
    <row r="194" spans="2:3" x14ac:dyDescent="0.25">
      <c r="B194" s="11" t="s">
        <v>160</v>
      </c>
    </row>
    <row r="195" spans="2:3" x14ac:dyDescent="0.25">
      <c r="B195" s="11" t="s">
        <v>161</v>
      </c>
    </row>
    <row r="196" spans="2:3" x14ac:dyDescent="0.25">
      <c r="B196" s="11"/>
    </row>
    <row r="197" spans="2:3" x14ac:dyDescent="0.25">
      <c r="B197" s="4" t="s">
        <v>171</v>
      </c>
    </row>
    <row r="198" spans="2:3" x14ac:dyDescent="0.25">
      <c r="B198" s="11" t="s">
        <v>163</v>
      </c>
    </row>
    <row r="199" spans="2:3" ht="16.5" customHeight="1" x14ac:dyDescent="0.25">
      <c r="B199" s="11" t="s">
        <v>172</v>
      </c>
    </row>
    <row r="200" spans="2:3" x14ac:dyDescent="0.25">
      <c r="B200" s="11"/>
    </row>
    <row r="201" spans="2:3" x14ac:dyDescent="0.25">
      <c r="B201" s="4" t="s">
        <v>28</v>
      </c>
    </row>
    <row r="202" spans="2:3" x14ac:dyDescent="0.25">
      <c r="B202" s="11" t="s">
        <v>163</v>
      </c>
    </row>
    <row r="203" spans="2:3" x14ac:dyDescent="0.25">
      <c r="B203" s="11" t="s">
        <v>173</v>
      </c>
    </row>
    <row r="204" spans="2:3" x14ac:dyDescent="0.25">
      <c r="B204" s="29" t="s">
        <v>174</v>
      </c>
      <c r="C204" s="17"/>
    </row>
    <row r="205" spans="2:3" x14ac:dyDescent="0.25">
      <c r="B205" s="29"/>
      <c r="C205" s="17" t="s">
        <v>175</v>
      </c>
    </row>
    <row r="206" spans="2:3" x14ac:dyDescent="0.25">
      <c r="B206" s="29"/>
      <c r="C206" s="17" t="s">
        <v>176</v>
      </c>
    </row>
    <row r="207" spans="2:3" x14ac:dyDescent="0.25">
      <c r="B207" s="29"/>
      <c r="C207" s="17" t="s">
        <v>177</v>
      </c>
    </row>
    <row r="208" spans="2:3" x14ac:dyDescent="0.25">
      <c r="B208" s="29" t="s">
        <v>178</v>
      </c>
      <c r="C208" s="17"/>
    </row>
    <row r="209" spans="2:3" x14ac:dyDescent="0.25">
      <c r="B209" s="4"/>
      <c r="C209" s="17" t="s">
        <v>179</v>
      </c>
    </row>
    <row r="210" spans="2:3" x14ac:dyDescent="0.25">
      <c r="B210" s="4"/>
      <c r="C210" s="17" t="s">
        <v>180</v>
      </c>
    </row>
    <row r="211" spans="2:3" x14ac:dyDescent="0.25">
      <c r="B211" s="4"/>
      <c r="C211" s="17" t="s">
        <v>181</v>
      </c>
    </row>
    <row r="212" spans="2:3" x14ac:dyDescent="0.25">
      <c r="B212" s="4"/>
      <c r="C212" s="17" t="s">
        <v>182</v>
      </c>
    </row>
    <row r="213" spans="2:3" x14ac:dyDescent="0.25">
      <c r="B213" s="4"/>
      <c r="C213" s="17" t="s">
        <v>183</v>
      </c>
    </row>
    <row r="214" spans="2:3" x14ac:dyDescent="0.25">
      <c r="B214" s="4"/>
      <c r="C214" s="11" t="s">
        <v>184</v>
      </c>
    </row>
    <row r="215" spans="2:3" x14ac:dyDescent="0.25">
      <c r="B215" s="4"/>
      <c r="C215" s="11" t="s">
        <v>185</v>
      </c>
    </row>
    <row r="216" spans="2:3" x14ac:dyDescent="0.25">
      <c r="B216" s="11" t="s">
        <v>611</v>
      </c>
      <c r="C216" s="11"/>
    </row>
    <row r="217" spans="2:3" x14ac:dyDescent="0.25">
      <c r="B217" s="11"/>
    </row>
    <row r="218" spans="2:3" x14ac:dyDescent="0.25">
      <c r="B218" s="4" t="s">
        <v>186</v>
      </c>
    </row>
    <row r="219" spans="2:3" x14ac:dyDescent="0.25">
      <c r="B219" s="11" t="s">
        <v>187</v>
      </c>
    </row>
    <row r="220" spans="2:3" x14ac:dyDescent="0.25">
      <c r="B220" s="11" t="s">
        <v>170</v>
      </c>
    </row>
    <row r="221" spans="2:3" x14ac:dyDescent="0.25">
      <c r="B221" s="11"/>
    </row>
    <row r="222" spans="2:3" x14ac:dyDescent="0.25">
      <c r="B222" s="4" t="s">
        <v>30</v>
      </c>
    </row>
    <row r="223" spans="2:3" x14ac:dyDescent="0.25">
      <c r="B223" s="11" t="s">
        <v>187</v>
      </c>
    </row>
    <row r="224" spans="2:3" x14ac:dyDescent="0.25">
      <c r="B224" s="11"/>
      <c r="C224" s="11"/>
    </row>
    <row r="225" spans="2:2" x14ac:dyDescent="0.25">
      <c r="B225" s="4" t="s">
        <v>31</v>
      </c>
    </row>
    <row r="226" spans="2:2" x14ac:dyDescent="0.25">
      <c r="B226" s="11" t="s">
        <v>187</v>
      </c>
    </row>
    <row r="227" spans="2:2" x14ac:dyDescent="0.25">
      <c r="B227" s="11" t="s">
        <v>188</v>
      </c>
    </row>
    <row r="228" spans="2:2" x14ac:dyDescent="0.25">
      <c r="B228" s="11" t="s">
        <v>189</v>
      </c>
    </row>
    <row r="229" spans="2:2" x14ac:dyDescent="0.25">
      <c r="B229" s="4"/>
    </row>
    <row r="230" spans="2:2" x14ac:dyDescent="0.25">
      <c r="B230" s="4" t="s">
        <v>32</v>
      </c>
    </row>
    <row r="231" spans="2:2" x14ac:dyDescent="0.25">
      <c r="B231" s="11" t="s">
        <v>187</v>
      </c>
    </row>
    <row r="232" spans="2:2" x14ac:dyDescent="0.25">
      <c r="B232" s="11" t="s">
        <v>160</v>
      </c>
    </row>
    <row r="233" spans="2:2" x14ac:dyDescent="0.25">
      <c r="B233" s="11" t="s">
        <v>161</v>
      </c>
    </row>
    <row r="234" spans="2:2" x14ac:dyDescent="0.25">
      <c r="B234" s="11"/>
    </row>
    <row r="235" spans="2:2" x14ac:dyDescent="0.25">
      <c r="B235" s="4" t="s">
        <v>33</v>
      </c>
    </row>
    <row r="236" spans="2:2" x14ac:dyDescent="0.25">
      <c r="B236" s="11" t="s">
        <v>187</v>
      </c>
    </row>
    <row r="237" spans="2:2" x14ac:dyDescent="0.25">
      <c r="B237" s="11" t="s">
        <v>190</v>
      </c>
    </row>
    <row r="238" spans="2:2" x14ac:dyDescent="0.25">
      <c r="B238" s="11" t="s">
        <v>611</v>
      </c>
    </row>
    <row r="239" spans="2:2" x14ac:dyDescent="0.25">
      <c r="B239" s="11"/>
    </row>
    <row r="240" spans="2:2" x14ac:dyDescent="0.25">
      <c r="B240" s="4" t="s">
        <v>191</v>
      </c>
    </row>
    <row r="241" spans="2:3" x14ac:dyDescent="0.25">
      <c r="B241" s="11" t="s">
        <v>187</v>
      </c>
    </row>
    <row r="242" spans="2:3" x14ac:dyDescent="0.25">
      <c r="B242" s="11" t="s">
        <v>172</v>
      </c>
    </row>
    <row r="243" spans="2:3" x14ac:dyDescent="0.25">
      <c r="B243" s="11"/>
    </row>
    <row r="244" spans="2:3" x14ac:dyDescent="0.25">
      <c r="B244" s="4" t="s">
        <v>35</v>
      </c>
    </row>
    <row r="245" spans="2:3" x14ac:dyDescent="0.25">
      <c r="B245" s="11" t="s">
        <v>192</v>
      </c>
    </row>
    <row r="246" spans="2:3" x14ac:dyDescent="0.25">
      <c r="B246" s="11" t="s">
        <v>164</v>
      </c>
    </row>
    <row r="247" spans="2:3" x14ac:dyDescent="0.25">
      <c r="B247" s="11" t="s">
        <v>165</v>
      </c>
    </row>
    <row r="248" spans="2:3" x14ac:dyDescent="0.25">
      <c r="B248" s="11" t="s">
        <v>166</v>
      </c>
    </row>
    <row r="249" spans="2:3" x14ac:dyDescent="0.25">
      <c r="B249" s="11"/>
      <c r="C249" s="6"/>
    </row>
    <row r="250" spans="2:3" x14ac:dyDescent="0.25">
      <c r="B250" s="4" t="s">
        <v>36</v>
      </c>
      <c r="C250" s="6"/>
    </row>
    <row r="251" spans="2:3" x14ac:dyDescent="0.25">
      <c r="B251" s="11" t="s">
        <v>192</v>
      </c>
    </row>
    <row r="252" spans="2:3" x14ac:dyDescent="0.25">
      <c r="B252" s="11" t="s">
        <v>170</v>
      </c>
      <c r="C252" s="6"/>
    </row>
    <row r="253" spans="2:3" x14ac:dyDescent="0.25">
      <c r="B253" s="11"/>
    </row>
    <row r="254" spans="2:3" x14ac:dyDescent="0.25">
      <c r="B254" s="4" t="s">
        <v>37</v>
      </c>
    </row>
    <row r="255" spans="2:3" x14ac:dyDescent="0.25">
      <c r="B255" s="11" t="s">
        <v>192</v>
      </c>
    </row>
    <row r="256" spans="2:3" x14ac:dyDescent="0.25">
      <c r="B256" s="11"/>
      <c r="C256" s="11"/>
    </row>
    <row r="257" spans="2:2" x14ac:dyDescent="0.25">
      <c r="B257" s="4" t="s">
        <v>38</v>
      </c>
    </row>
    <row r="258" spans="2:2" x14ac:dyDescent="0.25">
      <c r="B258" s="11" t="s">
        <v>192</v>
      </c>
    </row>
    <row r="259" spans="2:2" x14ac:dyDescent="0.25">
      <c r="B259" s="11" t="s">
        <v>193</v>
      </c>
    </row>
    <row r="260" spans="2:2" x14ac:dyDescent="0.25">
      <c r="B260" s="11" t="s">
        <v>194</v>
      </c>
    </row>
    <row r="261" spans="2:2" x14ac:dyDescent="0.25">
      <c r="B261" s="11"/>
    </row>
    <row r="262" spans="2:2" x14ac:dyDescent="0.25">
      <c r="B262" s="4" t="s">
        <v>39</v>
      </c>
    </row>
    <row r="263" spans="2:2" x14ac:dyDescent="0.25">
      <c r="B263" s="11" t="s">
        <v>192</v>
      </c>
    </row>
    <row r="264" spans="2:2" x14ac:dyDescent="0.25">
      <c r="B264" s="11" t="s">
        <v>160</v>
      </c>
    </row>
    <row r="265" spans="2:2" x14ac:dyDescent="0.25">
      <c r="B265" s="11" t="s">
        <v>161</v>
      </c>
    </row>
    <row r="266" spans="2:2" x14ac:dyDescent="0.25">
      <c r="B266" s="11"/>
    </row>
    <row r="267" spans="2:2" x14ac:dyDescent="0.25">
      <c r="B267" s="18" t="s">
        <v>40</v>
      </c>
    </row>
    <row r="268" spans="2:2" x14ac:dyDescent="0.25">
      <c r="B268" s="11" t="s">
        <v>141</v>
      </c>
    </row>
    <row r="269" spans="2:2" x14ac:dyDescent="0.25">
      <c r="B269" s="11" t="s">
        <v>142</v>
      </c>
    </row>
    <row r="270" spans="2:2" x14ac:dyDescent="0.25">
      <c r="B270" s="11"/>
    </row>
    <row r="271" spans="2:2" x14ac:dyDescent="0.25">
      <c r="B271" s="4" t="s">
        <v>41</v>
      </c>
    </row>
    <row r="272" spans="2:2" x14ac:dyDescent="0.25">
      <c r="B272" s="11" t="s">
        <v>192</v>
      </c>
    </row>
    <row r="273" spans="2:11" x14ac:dyDescent="0.25">
      <c r="B273" s="11" t="s">
        <v>195</v>
      </c>
    </row>
    <row r="274" spans="2:11" x14ac:dyDescent="0.25">
      <c r="B274" s="11" t="s">
        <v>611</v>
      </c>
    </row>
    <row r="275" spans="2:11" x14ac:dyDescent="0.25">
      <c r="B275" s="11"/>
    </row>
    <row r="276" spans="2:11" x14ac:dyDescent="0.25">
      <c r="B276" s="4" t="s">
        <v>196</v>
      </c>
    </row>
    <row r="277" spans="2:11" x14ac:dyDescent="0.25">
      <c r="B277" s="11" t="s">
        <v>192</v>
      </c>
    </row>
    <row r="278" spans="2:11" x14ac:dyDescent="0.25">
      <c r="B278" s="11" t="s">
        <v>172</v>
      </c>
    </row>
    <row r="280" spans="2:11" x14ac:dyDescent="0.25">
      <c r="B280" s="4" t="s">
        <v>197</v>
      </c>
    </row>
    <row r="281" spans="2:11" x14ac:dyDescent="0.25">
      <c r="B281" s="11" t="s">
        <v>114</v>
      </c>
    </row>
    <row r="282" spans="2:11" x14ac:dyDescent="0.25">
      <c r="B282" s="11" t="s">
        <v>172</v>
      </c>
    </row>
    <row r="283" spans="2:11" x14ac:dyDescent="0.25">
      <c r="B283" s="11"/>
    </row>
    <row r="284" spans="2:11" x14ac:dyDescent="0.25">
      <c r="B284" s="4" t="s">
        <v>44</v>
      </c>
    </row>
    <row r="285" spans="2:11" x14ac:dyDescent="0.25">
      <c r="B285" s="11" t="s">
        <v>198</v>
      </c>
    </row>
    <row r="286" spans="2:11" x14ac:dyDescent="0.25">
      <c r="B286" s="11"/>
    </row>
    <row r="287" spans="2:11" x14ac:dyDescent="0.25">
      <c r="B287" s="78" t="s">
        <v>45</v>
      </c>
      <c r="C287" s="79"/>
      <c r="D287" s="79"/>
      <c r="E287" s="79"/>
      <c r="F287" s="79"/>
      <c r="G287" s="79"/>
      <c r="H287" s="79"/>
      <c r="I287" s="79"/>
      <c r="J287" s="79"/>
      <c r="K287" s="79"/>
    </row>
    <row r="288" spans="2:11" x14ac:dyDescent="0.25">
      <c r="B288" s="11" t="s">
        <v>114</v>
      </c>
      <c r="C288" s="27"/>
      <c r="D288" s="27"/>
      <c r="E288" s="27"/>
      <c r="F288" s="27"/>
      <c r="G288" s="27"/>
      <c r="H288" s="27"/>
      <c r="I288" s="27"/>
      <c r="J288" s="27"/>
      <c r="K288" s="27"/>
    </row>
    <row r="289" spans="2:11" x14ac:dyDescent="0.25">
      <c r="B289" s="11" t="s">
        <v>135</v>
      </c>
      <c r="C289" s="27"/>
      <c r="D289" s="27"/>
      <c r="E289" s="27"/>
      <c r="F289" s="27"/>
      <c r="G289" s="27"/>
      <c r="H289" s="27"/>
      <c r="I289" s="27"/>
      <c r="J289" s="27"/>
      <c r="K289" s="27"/>
    </row>
    <row r="290" spans="2:11" x14ac:dyDescent="0.25">
      <c r="B290" s="11" t="s">
        <v>140</v>
      </c>
      <c r="C290" s="27"/>
      <c r="D290" s="27"/>
      <c r="E290" s="27"/>
      <c r="F290" s="27"/>
      <c r="G290" s="27"/>
      <c r="H290" s="27"/>
      <c r="I290" s="27"/>
      <c r="J290" s="27"/>
      <c r="K290" s="27"/>
    </row>
    <row r="291" spans="2:11" x14ac:dyDescent="0.25">
      <c r="B291" s="11"/>
      <c r="C291" s="27"/>
      <c r="D291" s="27"/>
      <c r="E291" s="27"/>
      <c r="F291" s="27"/>
      <c r="G291" s="27"/>
      <c r="H291" s="27"/>
      <c r="I291" s="27"/>
      <c r="J291" s="27"/>
      <c r="K291" s="27"/>
    </row>
    <row r="292" spans="2:11" x14ac:dyDescent="0.25">
      <c r="B292" s="80" t="s">
        <v>46</v>
      </c>
      <c r="C292" s="79"/>
      <c r="D292" s="79"/>
      <c r="E292" s="79"/>
      <c r="F292" s="79"/>
      <c r="G292" s="79"/>
      <c r="H292" s="79"/>
      <c r="I292" s="79"/>
      <c r="J292" s="79"/>
      <c r="K292" s="79"/>
    </row>
    <row r="293" spans="2:11" x14ac:dyDescent="0.25">
      <c r="B293" s="11" t="s">
        <v>114</v>
      </c>
    </row>
    <row r="294" spans="2:11" x14ac:dyDescent="0.25">
      <c r="B294" s="11" t="s">
        <v>135</v>
      </c>
    </row>
    <row r="295" spans="2:11" x14ac:dyDescent="0.25">
      <c r="B295" s="11" t="s">
        <v>140</v>
      </c>
    </row>
    <row r="296" spans="2:11" x14ac:dyDescent="0.25">
      <c r="B296" s="11"/>
    </row>
    <row r="297" spans="2:11" x14ac:dyDescent="0.25">
      <c r="B297" s="5" t="s">
        <v>199</v>
      </c>
    </row>
    <row r="298" spans="2:11" x14ac:dyDescent="0.25">
      <c r="B298" s="11" t="s">
        <v>144</v>
      </c>
    </row>
    <row r="299" spans="2:11" x14ac:dyDescent="0.25">
      <c r="B299" s="11" t="s">
        <v>140</v>
      </c>
    </row>
    <row r="300" spans="2:11" x14ac:dyDescent="0.25">
      <c r="B300" s="11" t="s">
        <v>145</v>
      </c>
    </row>
    <row r="301" spans="2:11" x14ac:dyDescent="0.25">
      <c r="B301" s="21"/>
      <c r="C301" s="7"/>
      <c r="D301" s="7"/>
      <c r="E301" s="7"/>
      <c r="F301" s="7"/>
      <c r="G301" s="7"/>
    </row>
    <row r="302" spans="2:11" x14ac:dyDescent="0.25">
      <c r="B302" s="5" t="s">
        <v>200</v>
      </c>
      <c r="C302" s="7"/>
      <c r="D302" s="7"/>
      <c r="E302" s="7"/>
      <c r="F302" s="7"/>
      <c r="G302" s="7"/>
    </row>
    <row r="303" spans="2:11" x14ac:dyDescent="0.25">
      <c r="B303" s="11" t="s">
        <v>140</v>
      </c>
      <c r="C303" s="7"/>
      <c r="D303" s="7"/>
      <c r="E303" s="7"/>
      <c r="F303" s="7"/>
      <c r="G303" s="7"/>
    </row>
    <row r="304" spans="2:11" x14ac:dyDescent="0.25">
      <c r="B304" s="5"/>
      <c r="C304" s="7"/>
      <c r="D304" s="7"/>
      <c r="E304" s="7"/>
      <c r="F304" s="7"/>
      <c r="G304" s="7"/>
    </row>
    <row r="305" spans="2:7" x14ac:dyDescent="0.25">
      <c r="B305" s="5" t="s">
        <v>612</v>
      </c>
      <c r="C305" s="7"/>
      <c r="D305" s="7"/>
      <c r="E305" s="7"/>
      <c r="F305" s="7"/>
      <c r="G305" s="7"/>
    </row>
    <row r="306" spans="2:7" x14ac:dyDescent="0.25">
      <c r="B306" s="11" t="s">
        <v>140</v>
      </c>
      <c r="C306" s="7"/>
      <c r="D306" s="7"/>
      <c r="E306" s="7"/>
      <c r="F306" s="7"/>
      <c r="G306" s="7"/>
    </row>
    <row r="307" spans="2:7" x14ac:dyDescent="0.25">
      <c r="B307" s="5"/>
      <c r="C307" s="7"/>
      <c r="D307" s="7"/>
      <c r="E307" s="7"/>
      <c r="F307" s="7"/>
      <c r="G307" s="7"/>
    </row>
    <row r="308" spans="2:7" x14ac:dyDescent="0.25">
      <c r="B308" s="5" t="s">
        <v>50</v>
      </c>
      <c r="C308" s="7"/>
      <c r="D308" s="7"/>
      <c r="E308" s="7"/>
      <c r="F308" s="7"/>
      <c r="G308" s="7"/>
    </row>
    <row r="309" spans="2:7" x14ac:dyDescent="0.25">
      <c r="B309" s="11" t="s">
        <v>140</v>
      </c>
      <c r="C309" s="7"/>
      <c r="D309" s="7"/>
      <c r="E309" s="7"/>
      <c r="F309" s="7"/>
      <c r="G309" s="7"/>
    </row>
    <row r="310" spans="2:7" x14ac:dyDescent="0.25">
      <c r="C310" s="7"/>
      <c r="D310" s="7"/>
      <c r="E310" s="7"/>
      <c r="F310" s="7"/>
      <c r="G310" s="7"/>
    </row>
    <row r="311" spans="2:7" x14ac:dyDescent="0.25">
      <c r="B311" s="5" t="s">
        <v>51</v>
      </c>
      <c r="C311" s="7"/>
      <c r="D311" s="7"/>
      <c r="E311" s="7"/>
      <c r="F311" s="7"/>
      <c r="G311" s="7"/>
    </row>
    <row r="312" spans="2:7" x14ac:dyDescent="0.25">
      <c r="B312" s="11" t="s">
        <v>114</v>
      </c>
      <c r="C312" s="7"/>
      <c r="D312" s="7"/>
      <c r="E312" s="7"/>
      <c r="F312" s="7"/>
      <c r="G312" s="7"/>
    </row>
    <row r="313" spans="2:7" x14ac:dyDescent="0.25">
      <c r="B313" s="11" t="s">
        <v>147</v>
      </c>
      <c r="C313" s="7"/>
      <c r="D313" s="7"/>
      <c r="E313" s="7"/>
      <c r="F313" s="7"/>
      <c r="G313" s="7"/>
    </row>
    <row r="314" spans="2:7" x14ac:dyDescent="0.25">
      <c r="B314" s="11" t="s">
        <v>148</v>
      </c>
      <c r="C314" s="7"/>
      <c r="D314" s="7"/>
      <c r="E314" s="7"/>
      <c r="F314" s="7"/>
      <c r="G314" s="7"/>
    </row>
    <row r="315" spans="2:7" x14ac:dyDescent="0.25">
      <c r="B315" s="11" t="s">
        <v>149</v>
      </c>
      <c r="C315" s="7"/>
      <c r="D315" s="7"/>
      <c r="E315" s="7"/>
      <c r="F315" s="7"/>
      <c r="G315" s="7"/>
    </row>
    <row r="316" spans="2:7" x14ac:dyDescent="0.25">
      <c r="C316" s="7"/>
      <c r="D316" s="7"/>
      <c r="E316" s="7"/>
      <c r="F316" s="7"/>
      <c r="G316" s="7"/>
    </row>
    <row r="317" spans="2:7" x14ac:dyDescent="0.25">
      <c r="B317" s="5" t="s">
        <v>52</v>
      </c>
      <c r="C317" s="7"/>
      <c r="D317" s="7"/>
      <c r="E317" s="7"/>
      <c r="F317" s="7"/>
      <c r="G317" s="7"/>
    </row>
    <row r="318" spans="2:7" x14ac:dyDescent="0.25">
      <c r="B318" s="11" t="s">
        <v>114</v>
      </c>
      <c r="C318" s="7"/>
      <c r="D318" s="7"/>
      <c r="E318" s="7"/>
      <c r="F318" s="7"/>
      <c r="G318" s="7"/>
    </row>
    <row r="319" spans="2:7" x14ac:dyDescent="0.25">
      <c r="B319" s="11" t="s">
        <v>201</v>
      </c>
      <c r="C319" s="7"/>
      <c r="D319" s="7"/>
      <c r="E319" s="7"/>
      <c r="F319" s="7"/>
      <c r="G319" s="7"/>
    </row>
    <row r="320" spans="2:7" x14ac:dyDescent="0.25">
      <c r="B320" s="11" t="s">
        <v>148</v>
      </c>
      <c r="C320" s="7"/>
      <c r="D320" s="7"/>
      <c r="E320" s="7"/>
      <c r="F320" s="7"/>
      <c r="G320" s="7"/>
    </row>
    <row r="321" spans="2:7" x14ac:dyDescent="0.25">
      <c r="B321" s="11" t="s">
        <v>152</v>
      </c>
      <c r="C321" s="7"/>
      <c r="D321" s="7"/>
      <c r="E321" s="7"/>
      <c r="F321" s="7"/>
      <c r="G321" s="7"/>
    </row>
    <row r="322" spans="2:7" x14ac:dyDescent="0.25">
      <c r="C322" s="7"/>
      <c r="D322" s="7"/>
      <c r="E322" s="7"/>
      <c r="F322" s="7"/>
      <c r="G322" s="7"/>
    </row>
    <row r="323" spans="2:7" x14ac:dyDescent="0.25">
      <c r="B323" s="5" t="s">
        <v>53</v>
      </c>
      <c r="C323" s="7"/>
      <c r="D323" s="7"/>
      <c r="E323" s="7"/>
      <c r="F323" s="7"/>
      <c r="G323" s="7"/>
    </row>
    <row r="324" spans="2:7" x14ac:dyDescent="0.25">
      <c r="B324" s="11" t="s">
        <v>157</v>
      </c>
      <c r="C324" s="7"/>
      <c r="D324" s="7"/>
      <c r="E324" s="7"/>
      <c r="F324" s="7"/>
      <c r="G324" s="7"/>
    </row>
    <row r="325" spans="2:7" x14ac:dyDescent="0.25">
      <c r="B325" s="5"/>
      <c r="C325" s="7"/>
      <c r="D325" s="7"/>
      <c r="E325" s="7"/>
      <c r="F325" s="7"/>
      <c r="G325" s="7"/>
    </row>
    <row r="326" spans="2:7" x14ac:dyDescent="0.25">
      <c r="B326" s="5" t="s">
        <v>54</v>
      </c>
      <c r="C326" s="7"/>
      <c r="D326" s="7"/>
      <c r="E326" s="7"/>
      <c r="F326" s="7"/>
      <c r="G326" s="7"/>
    </row>
    <row r="327" spans="2:7" x14ac:dyDescent="0.25">
      <c r="B327" s="11" t="s">
        <v>157</v>
      </c>
      <c r="C327" s="7"/>
      <c r="D327" s="7"/>
      <c r="E327" s="7"/>
      <c r="F327" s="7"/>
      <c r="G327" s="7"/>
    </row>
    <row r="328" spans="2:7" x14ac:dyDescent="0.25">
      <c r="C328" s="7"/>
      <c r="D328" s="7"/>
      <c r="E328" s="7"/>
      <c r="F328" s="7"/>
      <c r="G328" s="7"/>
    </row>
    <row r="329" spans="2:7" x14ac:dyDescent="0.25">
      <c r="B329" s="5" t="s">
        <v>55</v>
      </c>
      <c r="C329" s="7"/>
      <c r="D329" s="7"/>
      <c r="E329" s="7"/>
      <c r="F329" s="7"/>
      <c r="G329" s="7"/>
    </row>
    <row r="330" spans="2:7" x14ac:dyDescent="0.25">
      <c r="B330" s="11" t="s">
        <v>202</v>
      </c>
      <c r="C330" s="7"/>
      <c r="D330" s="7"/>
      <c r="E330" s="7"/>
      <c r="F330" s="7"/>
      <c r="G330" s="7"/>
    </row>
    <row r="331" spans="2:7" x14ac:dyDescent="0.25">
      <c r="B331" s="11" t="s">
        <v>203</v>
      </c>
      <c r="C331" s="7"/>
      <c r="D331" s="7"/>
      <c r="E331" s="7"/>
      <c r="F331" s="7"/>
      <c r="G331" s="7"/>
    </row>
    <row r="332" spans="2:7" x14ac:dyDescent="0.25">
      <c r="B332" s="11"/>
      <c r="C332" s="7"/>
      <c r="D332" s="7"/>
      <c r="E332" s="7"/>
      <c r="F332" s="7"/>
      <c r="G332" s="7"/>
    </row>
    <row r="333" spans="2:7" x14ac:dyDescent="0.25">
      <c r="B333" s="5" t="s">
        <v>56</v>
      </c>
      <c r="C333" s="7"/>
      <c r="D333" s="7"/>
      <c r="E333" s="7"/>
      <c r="F333" s="7"/>
      <c r="G333" s="7"/>
    </row>
    <row r="334" spans="2:7" x14ac:dyDescent="0.25">
      <c r="B334" s="11" t="s">
        <v>204</v>
      </c>
      <c r="C334" s="7"/>
      <c r="D334" s="7"/>
      <c r="E334" s="7"/>
      <c r="F334" s="7"/>
      <c r="G334" s="7"/>
    </row>
    <row r="335" spans="2:7" x14ac:dyDescent="0.25">
      <c r="B335" s="11" t="s">
        <v>205</v>
      </c>
      <c r="C335" s="7"/>
      <c r="D335" s="7"/>
      <c r="E335" s="7"/>
      <c r="F335" s="7"/>
      <c r="G335" s="7"/>
    </row>
    <row r="336" spans="2:7" x14ac:dyDescent="0.25">
      <c r="B336" s="5"/>
      <c r="C336" s="7"/>
      <c r="D336" s="7"/>
      <c r="E336" s="7"/>
      <c r="F336" s="7"/>
      <c r="G336" s="7"/>
    </row>
    <row r="337" spans="2:7" x14ac:dyDescent="0.25">
      <c r="B337" s="5" t="s">
        <v>206</v>
      </c>
      <c r="C337" s="7"/>
      <c r="D337" s="7"/>
      <c r="E337" s="7"/>
      <c r="F337" s="7"/>
      <c r="G337" s="7"/>
    </row>
    <row r="338" spans="2:7" x14ac:dyDescent="0.25">
      <c r="B338" s="11" t="s">
        <v>163</v>
      </c>
      <c r="C338" s="7"/>
      <c r="D338" s="7"/>
      <c r="E338" s="7"/>
      <c r="F338" s="7"/>
      <c r="G338" s="7"/>
    </row>
    <row r="339" spans="2:7" x14ac:dyDescent="0.25">
      <c r="B339" s="11" t="s">
        <v>204</v>
      </c>
      <c r="C339" s="7"/>
      <c r="D339" s="7"/>
      <c r="E339" s="7"/>
      <c r="F339" s="7"/>
      <c r="G339" s="7"/>
    </row>
    <row r="340" spans="2:7" x14ac:dyDescent="0.25">
      <c r="B340" s="11"/>
      <c r="C340" s="7"/>
      <c r="D340" s="7"/>
      <c r="E340" s="7"/>
      <c r="F340" s="7"/>
      <c r="G340" s="7"/>
    </row>
    <row r="341" spans="2:7" x14ac:dyDescent="0.25">
      <c r="B341" s="5" t="s">
        <v>58</v>
      </c>
      <c r="C341" s="7"/>
      <c r="D341" s="7"/>
      <c r="E341" s="7"/>
      <c r="F341" s="7"/>
      <c r="G341" s="7"/>
    </row>
    <row r="342" spans="2:7" x14ac:dyDescent="0.25">
      <c r="B342" s="11" t="s">
        <v>187</v>
      </c>
      <c r="C342" s="7"/>
      <c r="D342" s="7"/>
      <c r="E342" s="7"/>
      <c r="F342" s="7"/>
      <c r="G342" s="7"/>
    </row>
    <row r="343" spans="2:7" x14ac:dyDescent="0.25">
      <c r="C343" s="7"/>
      <c r="D343" s="7"/>
      <c r="E343" s="7"/>
      <c r="F343" s="7"/>
      <c r="G343" s="7"/>
    </row>
    <row r="344" spans="2:7" x14ac:dyDescent="0.25">
      <c r="B344" s="5" t="s">
        <v>59</v>
      </c>
      <c r="C344" s="7"/>
      <c r="D344" s="7"/>
      <c r="E344" s="7"/>
      <c r="F344" s="7"/>
      <c r="G344" s="7"/>
    </row>
    <row r="345" spans="2:7" x14ac:dyDescent="0.25">
      <c r="B345" s="11" t="s">
        <v>158</v>
      </c>
      <c r="C345" s="7"/>
      <c r="D345" s="7"/>
      <c r="E345" s="7"/>
      <c r="F345" s="7"/>
      <c r="G345" s="7"/>
    </row>
    <row r="346" spans="2:7" x14ac:dyDescent="0.25">
      <c r="B346" s="11" t="s">
        <v>187</v>
      </c>
      <c r="C346" s="7"/>
      <c r="D346" s="7"/>
      <c r="E346" s="7"/>
      <c r="F346" s="7"/>
      <c r="G346" s="7"/>
    </row>
    <row r="347" spans="2:7" x14ac:dyDescent="0.25">
      <c r="B347" s="5"/>
      <c r="C347" s="7"/>
      <c r="D347" s="7"/>
      <c r="E347" s="7"/>
      <c r="F347" s="7"/>
      <c r="G347" s="7"/>
    </row>
    <row r="348" spans="2:7" x14ac:dyDescent="0.25">
      <c r="B348" s="5" t="s">
        <v>60</v>
      </c>
      <c r="C348" s="7"/>
      <c r="D348" s="7"/>
      <c r="E348" s="7"/>
      <c r="F348" s="7"/>
      <c r="G348" s="7"/>
    </row>
    <row r="349" spans="2:7" x14ac:dyDescent="0.25">
      <c r="B349" s="11" t="s">
        <v>187</v>
      </c>
      <c r="C349" s="7"/>
      <c r="D349" s="7"/>
      <c r="E349" s="7"/>
      <c r="F349" s="7"/>
      <c r="G349" s="7"/>
    </row>
    <row r="350" spans="2:7" x14ac:dyDescent="0.25">
      <c r="B350" s="11"/>
      <c r="C350" s="7"/>
      <c r="D350" s="7"/>
      <c r="E350" s="7"/>
      <c r="F350" s="7"/>
      <c r="G350" s="7"/>
    </row>
    <row r="351" spans="2:7" x14ac:dyDescent="0.25">
      <c r="B351" s="5" t="s">
        <v>61</v>
      </c>
      <c r="C351" s="7"/>
      <c r="D351" s="7"/>
      <c r="E351" s="7"/>
      <c r="F351" s="7"/>
      <c r="G351" s="7"/>
    </row>
    <row r="352" spans="2:7" x14ac:dyDescent="0.25">
      <c r="B352" s="11" t="s">
        <v>187</v>
      </c>
      <c r="C352" s="7"/>
      <c r="D352" s="7"/>
      <c r="E352" s="7"/>
      <c r="F352" s="7"/>
      <c r="G352" s="7"/>
    </row>
    <row r="353" spans="2:7" x14ac:dyDescent="0.25">
      <c r="B353" s="11" t="s">
        <v>204</v>
      </c>
      <c r="C353" s="7"/>
      <c r="D353" s="7"/>
      <c r="E353" s="7"/>
      <c r="F353" s="7"/>
      <c r="G353" s="7"/>
    </row>
    <row r="354" spans="2:7" x14ac:dyDescent="0.25">
      <c r="B354" s="11"/>
      <c r="C354" s="7"/>
      <c r="D354" s="7"/>
      <c r="E354" s="7"/>
      <c r="F354" s="7"/>
      <c r="G354" s="7"/>
    </row>
    <row r="355" spans="2:7" x14ac:dyDescent="0.25">
      <c r="B355" s="5" t="s">
        <v>62</v>
      </c>
      <c r="C355" s="7"/>
      <c r="D355" s="7"/>
      <c r="E355" s="7"/>
      <c r="F355" s="7"/>
      <c r="G355" s="7"/>
    </row>
    <row r="356" spans="2:7" x14ac:dyDescent="0.25">
      <c r="B356" s="11" t="s">
        <v>192</v>
      </c>
      <c r="C356" s="7"/>
      <c r="D356" s="7"/>
      <c r="E356" s="7"/>
      <c r="F356" s="7"/>
      <c r="G356" s="7"/>
    </row>
    <row r="357" spans="2:7" x14ac:dyDescent="0.25">
      <c r="B357" s="11" t="s">
        <v>207</v>
      </c>
      <c r="C357" s="7"/>
      <c r="D357" s="7"/>
      <c r="E357" s="7"/>
      <c r="F357" s="7"/>
      <c r="G357" s="7"/>
    </row>
    <row r="358" spans="2:7" x14ac:dyDescent="0.25">
      <c r="C358" s="7"/>
      <c r="D358" s="7"/>
      <c r="E358" s="7"/>
      <c r="F358" s="7"/>
      <c r="G358" s="7"/>
    </row>
    <row r="359" spans="2:7" x14ac:dyDescent="0.25">
      <c r="B359" s="5" t="s">
        <v>63</v>
      </c>
      <c r="C359" s="7"/>
      <c r="D359" s="7"/>
      <c r="E359" s="7"/>
      <c r="F359" s="7"/>
      <c r="G359" s="7"/>
    </row>
    <row r="360" spans="2:7" x14ac:dyDescent="0.25">
      <c r="B360" s="11" t="s">
        <v>192</v>
      </c>
      <c r="C360" s="7"/>
      <c r="D360" s="7"/>
      <c r="E360" s="7"/>
      <c r="F360" s="7"/>
      <c r="G360" s="7"/>
    </row>
    <row r="361" spans="2:7" x14ac:dyDescent="0.25">
      <c r="B361" s="11" t="s">
        <v>158</v>
      </c>
      <c r="C361" s="7"/>
      <c r="D361" s="7"/>
      <c r="E361" s="7"/>
      <c r="F361" s="7"/>
      <c r="G361" s="7"/>
    </row>
    <row r="362" spans="2:7" x14ac:dyDescent="0.25">
      <c r="B362" s="11"/>
      <c r="C362" s="7"/>
      <c r="D362" s="7"/>
      <c r="E362" s="7"/>
      <c r="F362" s="7"/>
      <c r="G362" s="7"/>
    </row>
    <row r="363" spans="2:7" x14ac:dyDescent="0.25">
      <c r="B363" s="5" t="s">
        <v>64</v>
      </c>
      <c r="C363" s="7"/>
      <c r="D363" s="7"/>
      <c r="E363" s="7"/>
      <c r="F363" s="7"/>
      <c r="G363" s="7"/>
    </row>
    <row r="364" spans="2:7" x14ac:dyDescent="0.25">
      <c r="B364" s="11" t="s">
        <v>192</v>
      </c>
      <c r="C364" s="7"/>
      <c r="D364" s="7"/>
      <c r="E364" s="7"/>
      <c r="F364" s="7"/>
      <c r="G364" s="7"/>
    </row>
    <row r="365" spans="2:7" x14ac:dyDescent="0.25">
      <c r="B365" s="5"/>
      <c r="C365" s="7"/>
      <c r="D365" s="7"/>
      <c r="E365" s="7"/>
      <c r="F365" s="7"/>
      <c r="G365" s="7"/>
    </row>
    <row r="366" spans="2:7" x14ac:dyDescent="0.25">
      <c r="B366" s="5" t="s">
        <v>65</v>
      </c>
      <c r="C366" s="7"/>
      <c r="D366" s="7"/>
      <c r="E366" s="7"/>
      <c r="F366" s="7"/>
      <c r="G366" s="7"/>
    </row>
    <row r="367" spans="2:7" x14ac:dyDescent="0.25">
      <c r="B367" s="11" t="s">
        <v>192</v>
      </c>
      <c r="C367" s="7"/>
      <c r="D367" s="7"/>
      <c r="E367" s="7"/>
      <c r="F367" s="7"/>
      <c r="G367" s="7"/>
    </row>
    <row r="368" spans="2:7" x14ac:dyDescent="0.25">
      <c r="B368" s="11" t="s">
        <v>204</v>
      </c>
      <c r="C368" s="7"/>
      <c r="D368" s="7"/>
      <c r="E368" s="7"/>
      <c r="F368" s="7"/>
      <c r="G368" s="7"/>
    </row>
    <row r="369" spans="2:7" x14ac:dyDescent="0.25">
      <c r="B369" s="5"/>
      <c r="C369" s="7"/>
      <c r="D369" s="7"/>
      <c r="E369" s="7"/>
      <c r="F369" s="7"/>
      <c r="G369" s="7"/>
    </row>
    <row r="370" spans="2:7" x14ac:dyDescent="0.25">
      <c r="B370" s="5" t="s">
        <v>66</v>
      </c>
      <c r="C370" s="7"/>
      <c r="D370" s="7"/>
      <c r="E370" s="7"/>
      <c r="F370" s="7"/>
      <c r="G370" s="7"/>
    </row>
    <row r="371" spans="2:7" x14ac:dyDescent="0.25">
      <c r="B371" s="11" t="s">
        <v>114</v>
      </c>
      <c r="C371" s="7"/>
      <c r="D371" s="7"/>
      <c r="E371" s="7"/>
      <c r="F371" s="7"/>
      <c r="G371" s="7"/>
    </row>
    <row r="372" spans="2:7" x14ac:dyDescent="0.25">
      <c r="B372" s="5"/>
      <c r="C372" s="7"/>
      <c r="D372" s="7"/>
      <c r="E372" s="7"/>
      <c r="F372" s="7"/>
      <c r="G372" s="7"/>
    </row>
    <row r="373" spans="2:7" x14ac:dyDescent="0.25">
      <c r="B373" s="5" t="s">
        <v>67</v>
      </c>
      <c r="C373" s="7"/>
      <c r="D373" s="7"/>
      <c r="E373" s="7"/>
      <c r="F373" s="7"/>
      <c r="G373" s="7"/>
    </row>
    <row r="374" spans="2:7" x14ac:dyDescent="0.25">
      <c r="B374" s="11" t="s">
        <v>144</v>
      </c>
      <c r="C374" s="7"/>
      <c r="D374" s="7"/>
      <c r="E374" s="7"/>
      <c r="F374" s="7"/>
      <c r="G374" s="7"/>
    </row>
    <row r="375" spans="2:7" x14ac:dyDescent="0.25">
      <c r="B375" s="5"/>
      <c r="C375" s="7"/>
      <c r="D375" s="7"/>
      <c r="E375" s="7"/>
      <c r="F375" s="7"/>
      <c r="G375" s="7"/>
    </row>
    <row r="376" spans="2:7" x14ac:dyDescent="0.25">
      <c r="B376" s="5" t="s">
        <v>68</v>
      </c>
      <c r="C376" s="7"/>
      <c r="D376" s="7"/>
      <c r="E376" s="7"/>
      <c r="F376" s="7"/>
      <c r="G376" s="7"/>
    </row>
    <row r="377" spans="2:7" x14ac:dyDescent="0.25">
      <c r="B377" s="11" t="s">
        <v>144</v>
      </c>
      <c r="C377" s="7"/>
      <c r="D377" s="7"/>
      <c r="E377" s="7"/>
      <c r="F377" s="7"/>
      <c r="G377" s="7"/>
    </row>
    <row r="378" spans="2:7" x14ac:dyDescent="0.25">
      <c r="C378" s="7"/>
      <c r="D378" s="7"/>
      <c r="E378" s="7"/>
      <c r="F378" s="7"/>
      <c r="G378" s="7"/>
    </row>
    <row r="379" spans="2:7" x14ac:dyDescent="0.25">
      <c r="B379" s="5" t="s">
        <v>208</v>
      </c>
      <c r="C379" s="7"/>
      <c r="D379" s="7"/>
      <c r="E379" s="7"/>
      <c r="F379" s="7"/>
      <c r="G379" s="7"/>
    </row>
    <row r="380" spans="2:7" x14ac:dyDescent="0.25">
      <c r="B380" s="11" t="s">
        <v>209</v>
      </c>
      <c r="C380" s="7"/>
      <c r="D380" s="7"/>
      <c r="E380" s="7"/>
      <c r="F380" s="7"/>
      <c r="G380" s="7"/>
    </row>
    <row r="381" spans="2:7" x14ac:dyDescent="0.25">
      <c r="B381" s="13"/>
    </row>
    <row r="382" spans="2:7" x14ac:dyDescent="0.25">
      <c r="B382" s="19" t="s">
        <v>210</v>
      </c>
    </row>
    <row r="383" spans="2:7" x14ac:dyDescent="0.25">
      <c r="B383" s="19" t="s">
        <v>211</v>
      </c>
    </row>
    <row r="384" spans="2:7" x14ac:dyDescent="0.25">
      <c r="B384" s="30" t="s">
        <v>212</v>
      </c>
    </row>
    <row r="385" spans="2:2" x14ac:dyDescent="0.25">
      <c r="B385" s="20"/>
    </row>
    <row r="386" spans="2:2" x14ac:dyDescent="0.25">
      <c r="B386" s="31" t="s">
        <v>213</v>
      </c>
    </row>
  </sheetData>
  <mergeCells count="2">
    <mergeCell ref="B287:K287"/>
    <mergeCell ref="B292:K292"/>
  </mergeCells>
  <hyperlinks>
    <hyperlink ref="B384" r:id="rId1" xr:uid="{E0B646F0-5FA3-4BC6-8E29-DCFFC8F90251}"/>
    <hyperlink ref="B386" location="Contents!A1" display="Contents" xr:uid="{3B735C80-E498-4ECE-8152-512F48F74A9A}"/>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FB156D5767370D479BB3B57D8CFFDB36" ma:contentTypeVersion="1" ma:contentTypeDescription="Create a new data object document." ma:contentTypeScope="" ma:versionID="ff1e64231cbcf1207486dda6525336ed">
  <xsd:schema xmlns:xsd="http://www.w3.org/2001/XMLSchema" xmlns:xs="http://www.w3.org/2001/XMLSchema" xmlns:p="http://schemas.microsoft.com/office/2006/metadata/properties" xmlns:ns2="002da713-8376-4226-8bac-e6506b2c9ad4" targetNamespace="http://schemas.microsoft.com/office/2006/metadata/properties" ma:root="true" ma:fieldsID="ecff8b71741e2a273ec3ed12f35cac23" ns2:_="">
    <xsd:import namespace="002da713-8376-4226-8bac-e6506b2c9ad4"/>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2da713-8376-4226-8bac-e6506b2c9ad4"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5561afb4-af99-4ea9-9104-6faddbad18de}" ma:internalName="AIHW_PPR_ProjectCategoryLookup" ma:showField="Title" ma:web="{002da713-8376-4226-8bac-e6506b2c9ad4}">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002da713-8376-4226-8bac-e6506b2c9ad4"/>
    <AIHW_PPR_AnalysisFileRunBy xmlns="002da713-8376-4226-8bac-e6506b2c9ad4">
      <UserInfo>
        <DisplayName/>
        <AccountId xsi:nil="true"/>
        <AccountType/>
      </UserInfo>
    </AIHW_PPR_AnalysisFileRunBy>
    <AIHW_PPR_AnalysisFileVersion xmlns="002da713-8376-4226-8bac-e6506b2c9ad4" xsi:nil="true"/>
    <AIHW_PPR_AnalysisFilePath xmlns="002da713-8376-4226-8bac-e6506b2c9ad4" xsi:nil="true"/>
    <AIHW_PPR_AnalysisFileRunDate xmlns="002da713-8376-4226-8bac-e6506b2c9ad4" xsi:nil="true"/>
    <AIHW_PPR_Checksum xmlns="002da713-8376-4226-8bac-e6506b2c9ad4" xsi:nil="true"/>
    <AIHW_PPR_AnalysisFileSessionId xmlns="002da713-8376-4226-8bac-e6506b2c9ad4" xsi:nil="true"/>
  </documentManagement>
</p:properties>
</file>

<file path=customXml/itemProps1.xml><?xml version="1.0" encoding="utf-8"?>
<ds:datastoreItem xmlns:ds="http://schemas.openxmlformats.org/officeDocument/2006/customXml" ds:itemID="{751F6AF0-1B9E-4BDB-A7AF-F3DEF87388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2da713-8376-4226-8bac-e6506b2c9a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7F9DEF-7656-4E33-87D9-7C7C2E910FB5}">
  <ds:schemaRefs>
    <ds:schemaRef ds:uri="http://schemas.microsoft.com/sharepoint/v3/contenttype/forms"/>
  </ds:schemaRefs>
</ds:datastoreItem>
</file>

<file path=customXml/itemProps3.xml><?xml version="1.0" encoding="utf-8"?>
<ds:datastoreItem xmlns:ds="http://schemas.openxmlformats.org/officeDocument/2006/customXml" ds:itemID="{2841356C-C557-4C73-ACD1-4BD6214186A9}">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purl.org/dc/terms/"/>
    <ds:schemaRef ds:uri="http://purl.org/dc/dcmitype/"/>
    <ds:schemaRef ds:uri="002da713-8376-4226-8bac-e6506b2c9ad4"/>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70</vt:i4>
      </vt:variant>
    </vt:vector>
  </HeadingPairs>
  <TitlesOfParts>
    <vt:vector size="70" baseType="lpstr">
      <vt:lpstr>Contents</vt:lpstr>
      <vt:lpstr>Table 5.1</vt:lpstr>
      <vt:lpstr>Table 5.2</vt:lpstr>
      <vt:lpstr>Table 5.3</vt:lpstr>
      <vt:lpstr>Table 5.4</vt:lpstr>
      <vt:lpstr>Table 5.5</vt:lpstr>
      <vt:lpstr>Table 5.6</vt:lpstr>
      <vt:lpstr>Table 5.7</vt:lpstr>
      <vt:lpstr>Table 5.8</vt:lpstr>
      <vt:lpstr>Table 5.9</vt:lpstr>
      <vt:lpstr>Table 5.10</vt:lpstr>
      <vt:lpstr>Table 5.11</vt:lpstr>
      <vt:lpstr>Table 5.12</vt:lpstr>
      <vt:lpstr>Table 5.13</vt:lpstr>
      <vt:lpstr>Table 5.14</vt:lpstr>
      <vt:lpstr>Table 5.15</vt:lpstr>
      <vt:lpstr>Table 5.16</vt:lpstr>
      <vt:lpstr>Table 5.17</vt:lpstr>
      <vt:lpstr>Table 5.18</vt:lpstr>
      <vt:lpstr>Table 5.19</vt:lpstr>
      <vt:lpstr>Table 5.20</vt:lpstr>
      <vt:lpstr>Table 5.21</vt:lpstr>
      <vt:lpstr>Table 5.22</vt:lpstr>
      <vt:lpstr>Table 5.23</vt:lpstr>
      <vt:lpstr>Table 5.24</vt:lpstr>
      <vt:lpstr>Table 5.25</vt:lpstr>
      <vt:lpstr>Table 5.26</vt:lpstr>
      <vt:lpstr>Table 5.27</vt:lpstr>
      <vt:lpstr>Table 5.28</vt:lpstr>
      <vt:lpstr>Table 5.29</vt:lpstr>
      <vt:lpstr>Table 5.30</vt:lpstr>
      <vt:lpstr>Table 5.31</vt:lpstr>
      <vt:lpstr>Table 5.32</vt:lpstr>
      <vt:lpstr>Table 5.33</vt:lpstr>
      <vt:lpstr>Table 5.34</vt:lpstr>
      <vt:lpstr>Table 5.35</vt:lpstr>
      <vt:lpstr>Table 5.36</vt:lpstr>
      <vt:lpstr>Table 5.37</vt:lpstr>
      <vt:lpstr>Table 5.38</vt:lpstr>
      <vt:lpstr>Table 5.39</vt:lpstr>
      <vt:lpstr>Table 5.40</vt:lpstr>
      <vt:lpstr>Table 5.41</vt:lpstr>
      <vt:lpstr>Table 5.42</vt:lpstr>
      <vt:lpstr>Table S5.1</vt:lpstr>
      <vt:lpstr>Table S5.2</vt:lpstr>
      <vt:lpstr>Table S5.3</vt:lpstr>
      <vt:lpstr>Table S5.4</vt:lpstr>
      <vt:lpstr>Table S5.5</vt:lpstr>
      <vt:lpstr>Table S5.6</vt:lpstr>
      <vt:lpstr>Table S5.7</vt:lpstr>
      <vt:lpstr>Table S5.8</vt:lpstr>
      <vt:lpstr>Table S5.9</vt:lpstr>
      <vt:lpstr>Table S5.10</vt:lpstr>
      <vt:lpstr>Table S5.11</vt:lpstr>
      <vt:lpstr>Table S5.12</vt:lpstr>
      <vt:lpstr>Table S5.13</vt:lpstr>
      <vt:lpstr>Table S5.14</vt:lpstr>
      <vt:lpstr>Table S5.15</vt:lpstr>
      <vt:lpstr>Table S5.16</vt:lpstr>
      <vt:lpstr>Table S5.17</vt:lpstr>
      <vt:lpstr>Table S5.18</vt:lpstr>
      <vt:lpstr>Table S5.19</vt:lpstr>
      <vt:lpstr>Table S5.20</vt:lpstr>
      <vt:lpstr>Table S5.21</vt:lpstr>
      <vt:lpstr>Table S5.22</vt:lpstr>
      <vt:lpstr>Table S5.23</vt:lpstr>
      <vt:lpstr>Table S5.24</vt:lpstr>
      <vt:lpstr>Table S5.25</vt:lpstr>
      <vt:lpstr>Table S5.26</vt:lpstr>
      <vt:lpstr>Technical specifications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AIHW</dc:creator>
  <cp:lastPrinted>2020-11-30T23:41:00Z</cp:lastPrinted>
  <dcterms:created xsi:type="dcterms:W3CDTF">2016-11-28T00:47:50Z</dcterms:created>
  <dcterms:modified xsi:type="dcterms:W3CDTF">2026-05-21T00:32:03Z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0x010100B4A1F787F0C441AC878A307E051D262E00226E8B188E214B8AB06D165B586CEFC300FB156D5767370D479BB3B57D8CFFDB36</vt:lpwstr>
  </property>
</Properties>
</file>