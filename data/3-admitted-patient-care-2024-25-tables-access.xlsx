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projects.aihw.gov.au/PRJ03026/Analysis Output/"/>
    </mc:Choice>
  </mc:AlternateContent>
  <xr:revisionPtr revIDLastSave="0" documentId="13_ncr:20000001_{24C8D53F-F490-4DA5-9AC4-908D7939F2C1}" xr6:coauthVersionLast="47" xr6:coauthVersionMax="47" xr10:uidLastSave="{00000000-0000-0000-0000-000000000000}"/>
  <bookViews>
    <workbookView xWindow="-120" yWindow="-120" windowWidth="29040" windowHeight="15720" tabRatio="843" xr2:uid="{00000000-000D-0000-FFFF-FFFF00000000}"/>
  </bookViews>
  <sheets>
    <sheet name="Contents" sheetId="1" r:id="rId1"/>
    <sheet name="Table 3.1" sheetId="3" r:id="rId2"/>
    <sheet name="Table 3.2" sheetId="4" r:id="rId3"/>
    <sheet name="Table 3.3" sheetId="5" r:id="rId4"/>
    <sheet name="Table 3.4" sheetId="6" r:id="rId5"/>
    <sheet name="Table 3.5" sheetId="7" r:id="rId6"/>
    <sheet name="Table 3.6" sheetId="8" r:id="rId7"/>
    <sheet name="Table 3.7" sheetId="9" r:id="rId8"/>
    <sheet name="Table 3.8" sheetId="10" r:id="rId9"/>
    <sheet name="Table S3.1" sheetId="11" r:id="rId10"/>
    <sheet name="Table S3.2" sheetId="12" r:id="rId11"/>
    <sheet name="Table S3.3" sheetId="13" r:id="rId12"/>
    <sheet name="Table S3.4" sheetId="14" r:id="rId13"/>
    <sheet name="Table S3.5" sheetId="15" r:id="rId14"/>
    <sheet name="Table S3.6" sheetId="16" r:id="rId15"/>
    <sheet name="Table S3.7" sheetId="17" r:id="rId16"/>
    <sheet name="Table S3.8" sheetId="18" r:id="rId17"/>
    <sheet name="Table S3.9" sheetId="19" r:id="rId18"/>
    <sheet name="Table S3.10" sheetId="20" r:id="rId19"/>
    <sheet name="Table S3.11" sheetId="21" r:id="rId20"/>
    <sheet name="Table S3.12" sheetId="22" r:id="rId21"/>
    <sheet name="Table S3.13" sheetId="23" r:id="rId22"/>
    <sheet name="Technical specifications" sheetId="24" r:id="rId23"/>
  </sheets>
  <definedNames>
    <definedName name="_Toc410403188" localSheetId="0">Contents!$B$27</definedName>
    <definedName name="_Toc410403189" localSheetId="0">Contents!$B$33</definedName>
    <definedName name="_Toc410403190" localSheetId="0">Contents!$B$35</definedName>
    <definedName name="_Toc410403191" localSheetId="0">Contents!$B$15</definedName>
    <definedName name="_Toc410403192" localSheetId="0">Contents!$B$37</definedName>
    <definedName name="_Toc410403193" localSheetId="0">Contents!$B$39</definedName>
    <definedName name="_Toc410403194" localSheetId="0">Contents!$B$41</definedName>
    <definedName name="_Toc410403195" localSheetId="0">Contents!$B$17</definedName>
    <definedName name="_Toc410403196" localSheetId="0">Contents!$B$43</definedName>
    <definedName name="_Toc410403197" localSheetId="0">Contents!$B$45</definedName>
    <definedName name="_xlnm.Print_Area" localSheetId="0">Contents!$B$5:$C$61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8" l="1"/>
  <c r="G23" i="18"/>
  <c r="H23" i="18"/>
  <c r="I23" i="18"/>
  <c r="J23" i="18"/>
  <c r="K23" i="18"/>
  <c r="L23" i="18"/>
  <c r="M23" i="18"/>
  <c r="E23" i="18"/>
  <c r="E23" i="17"/>
  <c r="F23" i="17"/>
  <c r="G23" i="17"/>
  <c r="H23" i="17"/>
  <c r="I23" i="17"/>
  <c r="J23" i="17"/>
  <c r="K23" i="17"/>
  <c r="L23" i="17"/>
  <c r="M23" i="17"/>
  <c r="C8" i="8"/>
  <c r="C11" i="7"/>
  <c r="C8" i="7"/>
  <c r="C5" i="7"/>
  <c r="D8" i="23"/>
  <c r="E8" i="23"/>
  <c r="F8" i="23"/>
  <c r="G8" i="23"/>
  <c r="C8" i="23"/>
  <c r="D5" i="23"/>
  <c r="E5" i="23"/>
  <c r="F5" i="23"/>
  <c r="G5" i="23"/>
  <c r="C5" i="23"/>
  <c r="D8" i="21"/>
  <c r="E8" i="21"/>
  <c r="F8" i="21"/>
  <c r="G8" i="21"/>
  <c r="D5" i="21"/>
  <c r="E5" i="21"/>
  <c r="F5" i="21"/>
  <c r="G5" i="21"/>
  <c r="C8" i="21"/>
  <c r="C5" i="21"/>
  <c r="G11" i="8"/>
  <c r="D11" i="8"/>
  <c r="E11" i="8"/>
  <c r="F11" i="8"/>
  <c r="D8" i="8"/>
  <c r="E8" i="8"/>
  <c r="F8" i="8"/>
  <c r="G8" i="8"/>
  <c r="D5" i="8"/>
  <c r="E5" i="8"/>
  <c r="F5" i="8"/>
  <c r="G5" i="8"/>
  <c r="C11" i="8"/>
  <c r="C5" i="8"/>
  <c r="D11" i="7"/>
  <c r="E11" i="7"/>
  <c r="F11" i="7"/>
  <c r="G11" i="7"/>
  <c r="D8" i="7"/>
  <c r="E8" i="7"/>
  <c r="F8" i="7"/>
  <c r="G8" i="7"/>
  <c r="D5" i="7"/>
  <c r="E5" i="7"/>
  <c r="F5" i="7"/>
  <c r="G5" i="7"/>
</calcChain>
</file>

<file path=xl/sharedStrings.xml><?xml version="1.0" encoding="utf-8"?>
<sst xmlns="http://schemas.openxmlformats.org/spreadsheetml/2006/main" count="1910" uniqueCount="243">
  <si>
    <t xml:space="preserve">Admitted patient care 2024–25: </t>
  </si>
  <si>
    <t>Who used these services?</t>
  </si>
  <si>
    <t>Table 3.1: Separations and patient days, by age group and sex, all hospitals, 2024–25</t>
  </si>
  <si>
    <t>Table 3.2: Separations, by Indigenous status, public and private hospitals, 2024–25</t>
  </si>
  <si>
    <t>Table 3.3: Separations, by type of care and Indigenous status, all hospitals, 2024–25</t>
  </si>
  <si>
    <t>Table 3.4: Separations by Indigenous status, age group and sex, all hospitals, 2024–25</t>
  </si>
  <si>
    <t>Table 3.5: Selected separation statistics, by remoteness of area of usual residence, public and private hospitals, 2024–25</t>
  </si>
  <si>
    <t>Table 3.6: Selected separation statistics, by socioeconomic area of usual residence, public and private hospitals, 2024–25</t>
  </si>
  <si>
    <t>Table 3.7: Percentage change in separations by sex and age group, all hospitals, 2024–25</t>
  </si>
  <si>
    <t>Table 3.8: Separations per 1,000 population by sex and age group, all hospitals, 2024–25</t>
  </si>
  <si>
    <t>Table S3.1: Separations, by age group and sex, public hospitals, states and territories, 2024–25</t>
  </si>
  <si>
    <t>Table S3.2: Patient days, by age group and sex, public hospitals, states and territories, 2024–25</t>
  </si>
  <si>
    <t>Table S3.3: Separations, by age group and sex, private hospitals, states and territories, 2024–25</t>
  </si>
  <si>
    <t>Table S3.4: Patient days, by age group and sex, private hospitals, states and territories, 2024–25</t>
  </si>
  <si>
    <t>Table S3.5: Separations, by age group and funding source, public and private hospitals, 2024–25</t>
  </si>
  <si>
    <t>Table S3.6: Acute separations, by age group, sex and same-day/overnight status, all hospitals, 2024–25</t>
  </si>
  <si>
    <t>Table S3.7: Separations, by Indigenous status, public and private hospitals, states and territories, 2024–25</t>
  </si>
  <si>
    <t>Table S3.8: Overnight separations, by Indigenous status, public and private hospitals, states and territories, 2024–25</t>
  </si>
  <si>
    <t>Table S3.9: Same-day and overnight acute separations per 1,000 population, by Indigenous status, all hospitals, states and territories, 2024–25</t>
  </si>
  <si>
    <t>Table S3.10: Separations by funding source and remoteness of area of usual residence, public and private hospitals, 2024–25</t>
  </si>
  <si>
    <t>Table S3.11: Selected separation statistics, for same-day and overnight acute separations, by remoteness of area of usual residence, all hospitals, 2024–25</t>
  </si>
  <si>
    <t>Table S3.12: Separations by funding source and socioeconomic area of usual residence, public and private hospitals, 2024–25</t>
  </si>
  <si>
    <t>Table S3.13: Selected separation statistics, for same-day acute and overnight acute separations, by socioeconomic area of usual residence, all hospitals, 2024–25</t>
  </si>
  <si>
    <t>Technical Specifications</t>
  </si>
  <si>
    <t>Technical specifications - Admitted patient care 2024–25</t>
  </si>
  <si>
    <t>1. Standard separations analysis</t>
  </si>
  <si>
    <t>•     Counts of separations exclude records for Newborn care (without qualified days), Hospital boarders and Posthumous organ procurement.</t>
  </si>
  <si>
    <t>•     Includes separations for patients who were separated between 1 July 2024 and 30 June 2025, including patients admitted before 1 July 2024.</t>
  </si>
  <si>
    <t>•     Unless otherwise specified, tables present data by state of hospitalisation, not state of residence of the patient.</t>
  </si>
  <si>
    <t>2. Acute separations analysis</t>
  </si>
  <si>
    <t>•     Counts of separations include records for which the care type was reported as Acute, 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</si>
  <si>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</si>
  <si>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</si>
  <si>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</si>
  <si>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</si>
  <si>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</si>
  <si>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     Public hospitals include Public acute and Public psychiatric hospitals.</t>
  </si>
  <si>
    <t>•     Private hospitals include Private free-standing day hospital facilities and Other private hospitals.</t>
  </si>
  <si>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</si>
  <si>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</si>
  <si>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</si>
  <si>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</si>
  <si>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</si>
  <si>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First Nations peoples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</si>
  <si>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</si>
  <si>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</si>
  <si>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</si>
  <si>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</si>
  <si>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</si>
  <si>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</si>
  <si>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</si>
  <si>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</si>
  <si>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</si>
  <si>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</si>
  <si>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</si>
  <si>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</si>
  <si>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</si>
  <si>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</si>
  <si>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</si>
  <si>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</si>
  <si>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For Indigenous status, the SRR is equal to the separation rate for Indigenous Australians</t>
  </si>
  <si>
    <t xml:space="preserve">divided by the separation rate for other Australians </t>
  </si>
  <si>
    <t xml:space="preserve">•     For analyses by state or territory of residence, remoteness areas and socioeconomic </t>
  </si>
  <si>
    <t>grouping, the SRR is equal to the separation rate for the state or territory of residence,</t>
  </si>
  <si>
    <t>remoteness area, or socioeconomic group, divided by the separation rate for Australia.</t>
  </si>
  <si>
    <t>8. Suppression of private hospital information</t>
  </si>
  <si>
    <t>Table specifications</t>
  </si>
  <si>
    <t>•     Standard separations analysis.</t>
  </si>
  <si>
    <t>•     Age is calculated by subtracting the date of birth from the date of admission.</t>
  </si>
  <si>
    <t>•     Separations for which the sex was not stated/inadequately described are included in the Persons column.</t>
  </si>
  <si>
    <t>•     For Tasmania, the gender data item has been reported instead of sex.</t>
  </si>
  <si>
    <t>•     Separations for which the date of birth was not reported are included in the Total row.</t>
  </si>
  <si>
    <t xml:space="preserve">•     Patient days are derived from the reported admission and separations dates. Excludes unqualified days for Newborns. </t>
  </si>
  <si>
    <t xml:space="preserve">•     Indigenous status, as described in specification 6. </t>
  </si>
  <si>
    <t xml:space="preserve">•     Includes age-standardised rates as described in specification 7. </t>
  </si>
  <si>
    <t>•     Separation rate ratio is calculated as the separation rate for First Nations people divided by separation rate for Other Australians.</t>
  </si>
  <si>
    <t>Table 3.3: Separations, by Indigenous status and type of care, all hospitals, 2024–25</t>
  </si>
  <si>
    <t xml:space="preserve">•     Types of care </t>
  </si>
  <si>
    <t xml:space="preserve">Same-day acute separations for dialysis—Same-day/overnight status, as described in specification 3. Acute care separations as per specification 2, for which the AR-DRG was L61Z Haemodialysis. </t>
  </si>
  <si>
    <t>Other same-day acute separations—Same-day/overnight status, as described in specification 3. Acute care separations as per specification 2, for which the AR-DRG was not L61Z.</t>
  </si>
  <si>
    <t>Overnight acute separations–Same-day/overnight status, as described in specification 3. Acute care separations as per specification 2</t>
  </si>
  <si>
    <t>Separations for care other than acute–separations for which the care type was not reported as Acute or Newborn (with at least one qualified day), or not reported.</t>
  </si>
  <si>
    <t>•     Separations for which no Indigenous status was reported are included in the Total rows.</t>
  </si>
  <si>
    <t>Table 3.5: Selected separation statistics, by remoteness area of usual residence, public and private hospitals, 2024–25</t>
  </si>
  <si>
    <t>•     Remoteness of area of usual residence is based on the patient's area of residence (provided as Statistical Area level 2)</t>
  </si>
  <si>
    <t>•     Separation rate ratio is calculated as the separation rate for the remoteness area divided by the national separation rate.</t>
  </si>
  <si>
    <t>•     Total includes separations for which the remoteness area could not be categorised.</t>
  </si>
  <si>
    <t>Table 3.6: Selected separation statistics by socioeconomic area of usual residence, public and private hospitals, 2024–25</t>
  </si>
  <si>
    <t>•     Socioeconomic area of usual residence is based on the patient's area of residence (provided as Statistical Area level 2), aggregated into quintiles (20%) by population.</t>
  </si>
  <si>
    <t>•     Separation rate ratio is calculated as the separation rate for the socioeconomic area of residence divided by the national separation rate.</t>
  </si>
  <si>
    <t>Table 3.7: Percentage change in separations by sex and age group, all hospitals, 2020–21 to 2024–25</t>
  </si>
  <si>
    <t>Supplementary tables</t>
  </si>
  <si>
    <t>•     See specification for Table 3.1</t>
  </si>
  <si>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</si>
  <si>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</si>
  <si>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</si>
  <si>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</si>
  <si>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</si>
  <si>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Private health insurance includes separations with a funding source of Private health insurance</t>
  </si>
  <si>
    <t xml:space="preserve">      - Other patients includes separations with a funding source of: </t>
  </si>
  <si>
    <t>Self-funded</t>
  </si>
  <si>
    <t>Worker's compensation</t>
  </si>
  <si>
    <t>Motor vehicle third party personal claim</t>
  </si>
  <si>
    <t>Department of Veterans’ Affairs</t>
  </si>
  <si>
    <t>Other compensation</t>
  </si>
  <si>
    <t>Department of Defence</t>
  </si>
  <si>
    <t>Correctional facilities</t>
  </si>
  <si>
    <t>Other hospital or public authority (without a Public patient election status)</t>
  </si>
  <si>
    <t>Other</t>
  </si>
  <si>
    <t>Health service budget—no charge raised due to hospital decision (in private hospitals)</t>
  </si>
  <si>
    <t>Not reported.</t>
  </si>
  <si>
    <t>•     Total includes separations for which the date of birth was not reported.</t>
  </si>
  <si>
    <t>•     Acute separations analysis</t>
  </si>
  <si>
    <t xml:space="preserve">•     Same-day/overnight status, as described in specification 3. </t>
  </si>
  <si>
    <t>•     See specifications for age and sex as for Table 3.1</t>
  </si>
  <si>
    <t>•     Remoteness of area of usual residence is based on the patient's area of residence (provided as Statistical Area level 2 for most jurisdictions)</t>
  </si>
  <si>
    <t>•     Total includes separations for which the remoteness area could not be determined.</t>
  </si>
  <si>
    <t>•     Funding source aggregated as specified for Table 3.5</t>
  </si>
  <si>
    <t>Table S3.11: Selected separation statistics, for same-day and overnight acute separations, by remoteness area of usual residence, all hospitals, 2024–25</t>
  </si>
  <si>
    <t>•     Socioeconomic area of usual residence is based on the patient's area of residence (provided as Statistical Area level 2 for most jurisdictions), aggregated into quintiles (20%) by population.</t>
  </si>
  <si>
    <t>•     Total includes separations for which the socioeconomic area of usual residence could not be categorised.</t>
  </si>
  <si>
    <t>Notes</t>
  </si>
  <si>
    <t>Appendix information with notes on definitions and data limitations is available to download at the link below:</t>
  </si>
  <si>
    <t>https://www.aihw.gov.au/hospitals/other-resources/about-the-data</t>
  </si>
  <si>
    <t>Contents</t>
  </si>
  <si>
    <t>Age group (years)</t>
  </si>
  <si>
    <t>Measure</t>
  </si>
  <si>
    <t>Males</t>
  </si>
  <si>
    <t>Females</t>
  </si>
  <si>
    <t>Persons</t>
  </si>
  <si>
    <t>0–4</t>
  </si>
  <si>
    <t>Separations</t>
  </si>
  <si>
    <t>5–9</t>
  </si>
  <si>
    <t>10–14</t>
  </si>
  <si>
    <t>15–19</t>
  </si>
  <si>
    <t>20–24</t>
  </si>
  <si>
    <t>25–29</t>
  </si>
  <si>
    <t>30–34</t>
  </si>
  <si>
    <t>35–39</t>
  </si>
  <si>
    <t>40–44</t>
  </si>
  <si>
    <t>45–49</t>
  </si>
  <si>
    <t>50–54</t>
  </si>
  <si>
    <t>55–59</t>
  </si>
  <si>
    <t>60–64</t>
  </si>
  <si>
    <t>65–69</t>
  </si>
  <si>
    <t>70–74</t>
  </si>
  <si>
    <t>75–79</t>
  </si>
  <si>
    <t>80–84</t>
  </si>
  <si>
    <t>85–89</t>
  </si>
  <si>
    <t>90–94</t>
  </si>
  <si>
    <t>95+</t>
  </si>
  <si>
    <t>Total</t>
  </si>
  <si>
    <t>Patient days</t>
  </si>
  <si>
    <t>Note: Appendix information with notes on definitions and data limitations is available to download at the link below:</t>
  </si>
  <si>
    <t>Technical specifications</t>
  </si>
  <si>
    <t>Back to contents</t>
  </si>
  <si>
    <t>Indigenous status</t>
  </si>
  <si>
    <t>Detailed status</t>
  </si>
  <si>
    <t>Public hospitals</t>
  </si>
  <si>
    <t>Private hospitals</t>
  </si>
  <si>
    <t>All hospitals</t>
  </si>
  <si>
    <t>First Nations people</t>
  </si>
  <si>
    <t>Aboriginal but not Torres Strait Islander origin</t>
  </si>
  <si>
    <t>Torres Strait Islander but not Aboriginal origin</t>
  </si>
  <si>
    <t>Both Aboriginal and Torres Strait Islander origin</t>
  </si>
  <si>
    <t>Non-Indigenous Australians</t>
  </si>
  <si>
    <t>Neither Aboriginal nor Torres Strait Islander origin</t>
  </si>
  <si>
    <t>Indigenous status not reported</t>
  </si>
  <si>
    <t>Care type</t>
  </si>
  <si>
    <t>Other Australians</t>
  </si>
  <si>
    <t>Same-day acute</t>
  </si>
  <si>
    <t>Same-day acute separations for dialysis</t>
  </si>
  <si>
    <t>Other same-day acute separations</t>
  </si>
  <si>
    <t>Overnight acute</t>
  </si>
  <si>
    <t>Other separations</t>
  </si>
  <si>
    <t>All separations</t>
  </si>
  <si>
    <t>Separations per 1,000 population</t>
  </si>
  <si>
    <t>(a) Other Australians Includes separations for which the Indigenous status was Non-Indigenous and Not reported.</t>
  </si>
  <si>
    <t>Sex</t>
  </si>
  <si>
    <t>65+</t>
  </si>
  <si>
    <t>Sector</t>
  </si>
  <si>
    <t>Major cities</t>
  </si>
  <si>
    <t>Inner regional</t>
  </si>
  <si>
    <t>Outer regional</t>
  </si>
  <si>
    <t>Remote</t>
  </si>
  <si>
    <t>Very remote</t>
  </si>
  <si>
    <t>Separation rate ratio</t>
  </si>
  <si>
    <t>n.a.</t>
  </si>
  <si>
    <t>(a) Separation rate ratio is calculated as the separation rate for the remoteness area divided by the national separation rate.</t>
  </si>
  <si>
    <t>1 (Lowest)</t>
  </si>
  <si>
    <t>2</t>
  </si>
  <si>
    <t>3</t>
  </si>
  <si>
    <t>4</t>
  </si>
  <si>
    <t>5 (Highest)</t>
  </si>
  <si>
    <t>(a) Separation rate ratio is calculated as the separation rate for the socioeconomic area divided by the national separation rate.</t>
  </si>
  <si>
    <t>Change since 5 years ago (%)</t>
  </si>
  <si>
    <t>Average annual change over past 5 years (%)</t>
  </si>
  <si>
    <t>&lt;1</t>
  </si>
  <si>
    <t>1-4</t>
  </si>
  <si>
    <t>5-14</t>
  </si>
  <si>
    <t>15-24</t>
  </si>
  <si>
    <t>25-34</t>
  </si>
  <si>
    <t>35-44</t>
  </si>
  <si>
    <t>45-54</t>
  </si>
  <si>
    <t>55-64</t>
  </si>
  <si>
    <t>65-74</t>
  </si>
  <si>
    <t>75-84</t>
  </si>
  <si>
    <t>85+</t>
  </si>
  <si>
    <t>NSW</t>
  </si>
  <si>
    <t>Vic</t>
  </si>
  <si>
    <t>Qld</t>
  </si>
  <si>
    <t>WA</t>
  </si>
  <si>
    <t>SA</t>
  </si>
  <si>
    <t>Tas</t>
  </si>
  <si>
    <t>ACT</t>
  </si>
  <si>
    <t>NT</t>
  </si>
  <si>
    <t>0-4</t>
  </si>
  <si>
    <t>85-89</t>
  </si>
  <si>
    <t>90-94</t>
  </si>
  <si>
    <t>Public patients</t>
  </si>
  <si>
    <t>Private health insurance</t>
  </si>
  <si>
    <t>Other patients</t>
  </si>
  <si>
    <t>Status</t>
  </si>
  <si>
    <t>. .</t>
  </si>
  <si>
    <t>All Australians</t>
  </si>
  <si>
    <t>(a) For Tasmania, the Australian Capital Territory and the Northern Territory, separations per 1,000 population are for public hospitals only.</t>
  </si>
  <si>
    <t>(b) Other Australians includes separations for which Indigenous status was Non-Indigenous and Not reported.</t>
  </si>
  <si>
    <t>(c) The separation rate ratio is equal to the separation rate for First Nations people divided by the separation rate for other Australians.</t>
  </si>
  <si>
    <t>Admission status</t>
  </si>
  <si>
    <t>Separations per 1,000 population excluding dialysis</t>
  </si>
  <si>
    <t>Remoteness area</t>
  </si>
  <si>
    <t>Socioeconomic grouping</t>
  </si>
  <si>
    <t>•     To preserve commercial confidentiality for the private hospitals in the Northern Territory, the data for private hospitals in Tasmania and the Northern Territory have been suppressed. As a result, any comparisons of private hospital activity by jurisdiction in the text do not include data for Tasmania and the Northern Territory.</t>
  </si>
  <si>
    <t>•     It should be noted that there are not similar confidentiality concerns about the Tasmanian private hospital data (in aggregate) and the Tasmanian Department of Health would support the release of their private hospital information.</t>
  </si>
  <si>
    <t>9. Length of stay</t>
  </si>
  <si>
    <t xml:space="preserve">•     Patient days are derived from the reported admission and separations dates, excluding any leave dates. For the majority of tables, the calculation excludes unqualified days for Newborns. </t>
  </si>
  <si>
    <t>•     Average length of stay is calculated as patient days divided by number of separations.</t>
  </si>
  <si>
    <t>•     Average length of stay (excluding same-day separations) is calculated as overnight patient days divided by number of overnight separations.</t>
  </si>
  <si>
    <t>n.p.</t>
  </si>
  <si>
    <t>•     Data for ACT public hospitals for 2024–25 was not available at the time of publication.</t>
  </si>
  <si>
    <t xml:space="preserve">•     From 2024–25, ACT has amended the calculation of key length of stay measures including Qualified Days, Psych Days, Leave Days and HITH days from the digital health record. This change limits comparability of these measures with previous years.
</t>
  </si>
  <si>
    <t xml:space="preserve">•     Funding source aggregated as specified for Table 3.4 </t>
  </si>
  <si>
    <t>•     From 2024–25, ACT amended funding, insurance and eligibility mappings, substantially reducing records coded as ‘Unknown’ and reallocating contracted care. Resulting changes reflect improvements in mapping rather than real changes in patient funding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</si>
</sst>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1"/>
      <color theme="1"/>
      <name val="Calibri"/>
      <family val="2"/>
      <scheme val="minor"/>
    </font>
    <font>
      <sz val="10"/>
      <color indexed="8"/>
      <name val="Arial"/>
      <family val="2"/>
    </font>
    <font>
      <u/>
      <sz val="11"/>
      <color theme="10"/>
      <name val="Calibri"/>
      <family val="2"/>
      <scheme val="minor"/>
    </font>
    <font>
      <b/>
      <sz val="11"/>
      <color theme="1"/>
      <name val="Calibri"/>
      <family val="2"/>
      <scheme val="minor"/>
    </font>
    <font>
      <b/>
      <sz val="12"/>
      <color theme="1"/>
      <name val="Arial"/>
      <family val="2"/>
    </font>
    <font>
      <sz val="8"/>
      <color theme="1"/>
      <name val="Arial"/>
      <family val="2"/>
    </font>
    <font>
      <b/>
      <i/>
      <sz val="12"/>
      <color theme="1"/>
      <name val="Arial"/>
      <family val="2"/>
    </font>
    <font>
      <sz val="11"/>
      <color theme="1"/>
      <name val="Book Antiqua"/>
      <family val="1"/>
    </font>
    <font>
      <b/>
      <sz val="10"/>
      <color theme="1"/>
      <name val="Arial"/>
      <family val="2"/>
    </font>
    <font>
      <b/>
      <sz val="16"/>
      <color theme="1"/>
      <name val="Arial"/>
      <family val="2"/>
    </font>
    <font>
      <b/>
      <sz val="14"/>
      <color theme="1"/>
      <name val="Arial"/>
      <family val="2"/>
    </font>
    <font>
      <sz val="10"/>
      <color theme="1"/>
      <name val="Arial"/>
      <family val="2"/>
    </font>
    <font>
      <sz val="11"/>
      <color theme="1"/>
      <name val="Arial"/>
      <family val="2"/>
    </font>
    <font>
      <sz val="10"/>
      <color rgb="FF000000"/>
      <name val="Arial"/>
      <family val="2"/>
    </font>
    <font>
      <b/>
      <sz val="11"/>
      <color theme="1"/>
      <name val="Arial"/>
      <family val="2"/>
    </font>
    <font>
      <sz val="10"/>
      <color theme="1"/>
      <name val="Times New Roman"/>
      <family val="1"/>
    </font>
    <font>
      <u/>
      <sz val="10"/>
      <color theme="10"/>
      <name val="Calibri"/>
      <family val="2"/>
      <scheme val="minor"/>
    </font>
    <font>
      <sz val="12"/>
      <color theme="1"/>
      <name val="Calibri"/>
      <family val="2"/>
      <scheme val="minor"/>
    </font>
    <font>
      <u/>
      <sz val="12"/>
      <color theme="10"/>
      <name val="Calibri"/>
      <family val="2"/>
      <scheme val="minor"/>
    </font>
    <font>
      <sz val="10"/>
      <name val="Arial"/>
      <family val="2"/>
    </font>
    <font>
      <b/>
      <sz val="10"/>
      <name val="Arial"/>
    </font>
    <font>
      <b/>
      <sz val="8"/>
      <name val="Arial"/>
    </font>
    <font>
      <sz val="8"/>
      <name val="Arial"/>
    </font>
    <font>
      <sz val="7"/>
      <name val="Arial"/>
    </font>
    <font>
      <u/>
      <sz val="11"/>
      <color rgb="FF0563C1"/>
      <name val="Calibri"/>
    </font>
    <font>
      <i/>
      <sz val="8"/>
      <name val="Arial"/>
    </font>
    <font>
      <b/>
      <sz val="8"/>
      <name val="Arial"/>
      <family val="2"/>
    </font>
    <font>
      <sz val="8"/>
      <name val="Arial"/>
      <family val="2"/>
    </font>
    <font>
      <i/>
      <sz val="8"/>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s>
  <borders count="8">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3">
    <xf numFmtId="0" fontId="0" fillId="0" borderId="0"/>
    <xf numFmtId="0" fontId="2" fillId="0" borderId="0"/>
    <xf numFmtId="0" fontId="2" fillId="0" borderId="0"/>
  </cellStyleXfs>
  <cellXfs count="77">
    <xf numFmtId="0" fontId="0" fillId="0" borderId="0" xfId="0"/>
    <xf numFmtId="0" fontId="4" fillId="2" borderId="1" xfId="0" applyFont="1" applyFill="1" applyBorder="1"/>
    <xf numFmtId="0" fontId="0" fillId="2" borderId="0" xfId="0" applyFill="1"/>
    <xf numFmtId="0" fontId="5" fillId="0" borderId="0" xfId="0" applyFont="1" applyAlignment="1">
      <alignment vertical="center"/>
    </xf>
    <xf numFmtId="3" fontId="0" fillId="2" borderId="0" xfId="0" applyNumberFormat="1" applyFill="1"/>
    <xf numFmtId="164" fontId="0" fillId="2" borderId="0" xfId="0" applyNumberFormat="1" applyFill="1"/>
    <xf numFmtId="0" fontId="6" fillId="2" borderId="1" xfId="0" applyFont="1" applyFill="1" applyBorder="1"/>
    <xf numFmtId="3" fontId="0" fillId="0" borderId="0" xfId="0" applyNumberFormat="1"/>
    <xf numFmtId="0" fontId="9" fillId="2" borderId="0" xfId="0" applyFont="1" applyFill="1"/>
    <xf numFmtId="0" fontId="10" fillId="2" borderId="0" xfId="0" applyFont="1" applyFill="1"/>
    <xf numFmtId="0" fontId="4" fillId="2" borderId="0" xfId="0" applyFont="1" applyFill="1"/>
    <xf numFmtId="0" fontId="11" fillId="2" borderId="0" xfId="0" applyFont="1" applyFill="1"/>
    <xf numFmtId="0" fontId="12" fillId="2" borderId="0" xfId="0" applyFont="1" applyFill="1" applyAlignment="1">
      <alignment vertical="center"/>
    </xf>
    <xf numFmtId="0" fontId="11" fillId="2" borderId="0" xfId="0" applyFont="1" applyFill="1" applyAlignment="1">
      <alignment vertical="center"/>
    </xf>
    <xf numFmtId="0" fontId="7" fillId="2" borderId="0" xfId="0" applyFont="1" applyFill="1"/>
    <xf numFmtId="0" fontId="8" fillId="2" borderId="0" xfId="0" applyFont="1" applyFill="1"/>
    <xf numFmtId="0" fontId="11" fillId="2" borderId="0" xfId="0" applyFont="1" applyFill="1" applyAlignment="1">
      <alignment horizontal="left" vertical="center"/>
    </xf>
    <xf numFmtId="0" fontId="13" fillId="2" borderId="0" xfId="0" applyFont="1" applyFill="1" applyAlignment="1">
      <alignment horizontal="left" vertical="center" wrapText="1"/>
    </xf>
    <xf numFmtId="0" fontId="12" fillId="2" borderId="0" xfId="0" applyFont="1" applyFill="1"/>
    <xf numFmtId="0" fontId="8" fillId="2" borderId="0" xfId="0" applyFont="1" applyFill="1" applyAlignment="1">
      <alignment vertical="center"/>
    </xf>
    <xf numFmtId="0" fontId="14" fillId="2" borderId="0" xfId="0" applyFont="1" applyFill="1"/>
    <xf numFmtId="164" fontId="3" fillId="2" borderId="0" xfId="0" applyNumberFormat="1" applyFont="1" applyFill="1"/>
    <xf numFmtId="0" fontId="15" fillId="2" borderId="0" xfId="0" applyFont="1" applyFill="1" applyAlignment="1">
      <alignment vertical="center"/>
    </xf>
    <xf numFmtId="0" fontId="13" fillId="3" borderId="0" xfId="0" applyFont="1" applyFill="1" applyAlignment="1">
      <alignment vertical="center"/>
    </xf>
    <xf numFmtId="0" fontId="0" fillId="2" borderId="3" xfId="0" applyFill="1" applyBorder="1"/>
    <xf numFmtId="0" fontId="11" fillId="0" borderId="0" xfId="0" applyFont="1"/>
    <xf numFmtId="0" fontId="17" fillId="2" borderId="1" xfId="0" applyFont="1" applyFill="1" applyBorder="1"/>
    <xf numFmtId="0" fontId="18" fillId="2" borderId="1" xfId="1" applyFont="1" applyFill="1" applyBorder="1" applyAlignment="1">
      <alignment vertical="center"/>
    </xf>
    <xf numFmtId="0" fontId="18" fillId="2" borderId="1" xfId="1" applyFont="1" applyFill="1" applyBorder="1" applyAlignment="1">
      <alignment vertical="center" wrapText="1"/>
    </xf>
    <xf numFmtId="0" fontId="18" fillId="2" borderId="1" xfId="1" applyFont="1" applyFill="1" applyBorder="1"/>
    <xf numFmtId="0" fontId="17" fillId="2" borderId="2" xfId="0" applyFont="1" applyFill="1" applyBorder="1"/>
    <xf numFmtId="0" fontId="19" fillId="2" borderId="0" xfId="0" applyFont="1" applyFill="1"/>
    <xf numFmtId="0" fontId="1" fillId="2" borderId="0" xfId="0" applyFont="1" applyFill="1" applyAlignment="1">
      <alignment horizontal="left" vertical="center"/>
    </xf>
    <xf numFmtId="0" fontId="16" fillId="3" borderId="0" xfId="2" applyFont="1" applyFill="1" applyAlignment="1">
      <alignment vertical="center"/>
    </xf>
    <xf numFmtId="0" fontId="16" fillId="2" borderId="0" xfId="2" applyFont="1" applyFill="1" applyAlignment="1">
      <alignment vertical="center"/>
    </xf>
    <xf numFmtId="0" fontId="2" fillId="0" borderId="4" xfId="1" applyBorder="1"/>
    <xf numFmtId="0" fontId="22" fillId="4" borderId="0" xfId="0" applyFont="1" applyFill="1"/>
    <xf numFmtId="0" fontId="21" fillId="4" borderId="5" xfId="0" applyFont="1" applyFill="1" applyBorder="1" applyAlignment="1">
      <alignment horizontal="left"/>
    </xf>
    <xf numFmtId="0" fontId="21" fillId="4" borderId="5" xfId="0" applyFont="1" applyFill="1" applyBorder="1" applyAlignment="1">
      <alignment horizontal="right" wrapText="1"/>
    </xf>
    <xf numFmtId="0" fontId="22" fillId="4" borderId="0" xfId="0" applyFont="1" applyFill="1" applyAlignment="1">
      <alignment horizontal="left"/>
    </xf>
    <xf numFmtId="3" fontId="22" fillId="4" borderId="0" xfId="0" applyNumberFormat="1" applyFont="1" applyFill="1" applyAlignment="1">
      <alignment horizontal="right" wrapText="1"/>
    </xf>
    <xf numFmtId="0" fontId="21" fillId="4" borderId="0" xfId="0" applyFont="1" applyFill="1" applyAlignment="1">
      <alignment horizontal="left"/>
    </xf>
    <xf numFmtId="3" fontId="21" fillId="4" borderId="0" xfId="0" applyNumberFormat="1" applyFont="1" applyFill="1" applyAlignment="1">
      <alignment horizontal="right" wrapText="1"/>
    </xf>
    <xf numFmtId="0" fontId="21" fillId="4" borderId="6" xfId="0" applyFont="1" applyFill="1" applyBorder="1" applyAlignment="1">
      <alignment horizontal="left"/>
    </xf>
    <xf numFmtId="3" fontId="21" fillId="4" borderId="6" xfId="0" applyNumberFormat="1" applyFont="1" applyFill="1" applyBorder="1" applyAlignment="1">
      <alignment horizontal="right" wrapText="1"/>
    </xf>
    <xf numFmtId="0" fontId="23" fillId="4" borderId="0" xfId="0" applyFont="1" applyFill="1"/>
    <xf numFmtId="0" fontId="24" fillId="4" borderId="0" xfId="0" applyFont="1" applyFill="1"/>
    <xf numFmtId="0" fontId="25" fillId="4" borderId="0" xfId="0" applyFont="1" applyFill="1" applyAlignment="1">
      <alignment horizontal="left"/>
    </xf>
    <xf numFmtId="3" fontId="25" fillId="4" borderId="0" xfId="0" applyNumberFormat="1" applyFont="1" applyFill="1" applyAlignment="1">
      <alignment horizontal="right" wrapText="1"/>
    </xf>
    <xf numFmtId="165" fontId="22" fillId="4" borderId="0" xfId="0" applyNumberFormat="1" applyFont="1" applyFill="1" applyAlignment="1">
      <alignment horizontal="right" wrapText="1"/>
    </xf>
    <xf numFmtId="165" fontId="25" fillId="4" borderId="0" xfId="0" applyNumberFormat="1" applyFont="1" applyFill="1" applyAlignment="1">
      <alignment horizontal="right" wrapText="1"/>
    </xf>
    <xf numFmtId="165" fontId="21" fillId="4" borderId="0" xfId="0" applyNumberFormat="1" applyFont="1" applyFill="1" applyAlignment="1">
      <alignment horizontal="right" wrapText="1"/>
    </xf>
    <xf numFmtId="165" fontId="21" fillId="4" borderId="6" xfId="0" applyNumberFormat="1" applyFont="1" applyFill="1" applyBorder="1" applyAlignment="1">
      <alignment horizontal="right" wrapText="1"/>
    </xf>
    <xf numFmtId="0" fontId="25" fillId="4" borderId="6" xfId="0" applyFont="1" applyFill="1" applyBorder="1" applyAlignment="1">
      <alignment horizontal="left"/>
    </xf>
    <xf numFmtId="3" fontId="25" fillId="4" borderId="6" xfId="0" applyNumberFormat="1" applyFont="1" applyFill="1" applyBorder="1" applyAlignment="1">
      <alignment horizontal="right" wrapText="1"/>
    </xf>
    <xf numFmtId="0" fontId="22" fillId="4" borderId="6" xfId="0" applyFont="1" applyFill="1" applyBorder="1" applyAlignment="1">
      <alignment horizontal="left"/>
    </xf>
    <xf numFmtId="165" fontId="22" fillId="4" borderId="6" xfId="0" applyNumberFormat="1" applyFont="1" applyFill="1" applyBorder="1" applyAlignment="1">
      <alignment horizontal="right" wrapText="1"/>
    </xf>
    <xf numFmtId="3" fontId="22" fillId="4" borderId="6" xfId="0" applyNumberFormat="1" applyFont="1" applyFill="1" applyBorder="1" applyAlignment="1">
      <alignment horizontal="right" wrapText="1"/>
    </xf>
    <xf numFmtId="0" fontId="21" fillId="4" borderId="7" xfId="0" applyFont="1" applyFill="1" applyBorder="1" applyAlignment="1">
      <alignment horizontal="left"/>
    </xf>
    <xf numFmtId="165" fontId="21" fillId="4" borderId="7" xfId="0" applyNumberFormat="1" applyFont="1" applyFill="1" applyBorder="1" applyAlignment="1">
      <alignment horizontal="right" wrapText="1"/>
    </xf>
    <xf numFmtId="0" fontId="0" fillId="0" borderId="7" xfId="0" applyBorder="1"/>
    <xf numFmtId="165" fontId="26" fillId="4" borderId="0" xfId="0" applyNumberFormat="1" applyFont="1" applyFill="1" applyAlignment="1">
      <alignment horizontal="right" wrapText="1"/>
    </xf>
    <xf numFmtId="165" fontId="26" fillId="4" borderId="7" xfId="0" applyNumberFormat="1" applyFont="1" applyFill="1" applyBorder="1" applyAlignment="1">
      <alignment horizontal="right" wrapText="1"/>
    </xf>
    <xf numFmtId="165" fontId="27" fillId="4" borderId="0" xfId="0" applyNumberFormat="1" applyFont="1" applyFill="1" applyAlignment="1">
      <alignment horizontal="right" wrapText="1"/>
    </xf>
    <xf numFmtId="0" fontId="26" fillId="4" borderId="5" xfId="0" applyFont="1" applyFill="1" applyBorder="1" applyAlignment="1">
      <alignment horizontal="right" wrapText="1"/>
    </xf>
    <xf numFmtId="3" fontId="27" fillId="4" borderId="0" xfId="0" applyNumberFormat="1" applyFont="1" applyFill="1" applyAlignment="1">
      <alignment horizontal="right" wrapText="1"/>
    </xf>
    <xf numFmtId="3" fontId="28" fillId="4" borderId="0" xfId="0" applyNumberFormat="1" applyFont="1" applyFill="1" applyAlignment="1">
      <alignment horizontal="right" wrapText="1"/>
    </xf>
    <xf numFmtId="3" fontId="28" fillId="4" borderId="7" xfId="0" applyNumberFormat="1" applyFont="1" applyFill="1" applyBorder="1" applyAlignment="1">
      <alignment horizontal="right" wrapText="1"/>
    </xf>
    <xf numFmtId="165" fontId="28" fillId="4" borderId="0" xfId="0" applyNumberFormat="1" applyFont="1" applyFill="1" applyAlignment="1">
      <alignment horizontal="right" wrapText="1"/>
    </xf>
    <xf numFmtId="165" fontId="27" fillId="4" borderId="6" xfId="0" applyNumberFormat="1" applyFont="1" applyFill="1" applyBorder="1" applyAlignment="1">
      <alignment horizontal="right" wrapText="1"/>
    </xf>
    <xf numFmtId="165" fontId="22" fillId="4" borderId="7" xfId="0" applyNumberFormat="1" applyFont="1" applyFill="1" applyBorder="1" applyAlignment="1">
      <alignment horizontal="right" wrapText="1"/>
    </xf>
    <xf numFmtId="0" fontId="26" fillId="4" borderId="5" xfId="0" applyFont="1" applyFill="1" applyBorder="1" applyAlignment="1">
      <alignment horizontal="left"/>
    </xf>
    <xf numFmtId="165" fontId="27" fillId="4" borderId="7" xfId="0" applyNumberFormat="1" applyFont="1" applyFill="1" applyBorder="1" applyAlignment="1">
      <alignment horizontal="right" wrapText="1"/>
    </xf>
    <xf numFmtId="0" fontId="20" fillId="4" borderId="0" xfId="0" applyFont="1" applyFill="1" applyAlignment="1">
      <alignment vertical="center" wrapText="1"/>
    </xf>
    <xf numFmtId="0" fontId="22" fillId="4" borderId="0" xfId="0" applyFont="1" applyFill="1"/>
    <xf numFmtId="0" fontId="23" fillId="4" borderId="0" xfId="0" applyFont="1" applyFill="1" applyAlignment="1">
      <alignment vertical="top" wrapText="1"/>
    </xf>
    <xf numFmtId="0" fontId="0" fillId="0" borderId="0" xfId="0"/>
  </cellXfs>
  <cellStyles count="3">
    <cellStyle name="Hyperlink" xfId="1" builtinId="8"/>
    <cellStyle name="Hyperlink 2" xfId="2" xr:uid="{00000000-0005-0000-0000-000002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3400001</xdr:colOff>
      <xdr:row>4</xdr:row>
      <xdr:rowOff>136436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2400" y="184150"/>
          <a:ext cx="3400001" cy="688886"/>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5:AI235"/>
  <sheetViews>
    <sheetView showGridLines="0" tabSelected="1" zoomScaleNormal="100" workbookViewId="0"/>
  </sheetViews>
  <sheetFormatPr defaultRowHeight="15" x14ac:dyDescent="0.25"/>
  <cols>
    <col min="1" max="1" width="2.140625" customWidth="1"/>
    <col min="2" max="2" width="145.28515625" customWidth="1"/>
  </cols>
  <sheetData>
    <row r="5" spans="1:35" ht="33.75" customHeight="1" x14ac:dyDescent="0.25">
      <c r="A5" s="2"/>
      <c r="B5" s="24"/>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spans="1:35" ht="18" customHeight="1" x14ac:dyDescent="0.25">
      <c r="A6" s="2"/>
      <c r="B6" s="6" t="s">
        <v>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spans="1:35" ht="18" customHeight="1" x14ac:dyDescent="0.25">
      <c r="A7" s="2"/>
      <c r="B7" s="1" t="s">
        <v>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spans="1:35" ht="15" customHeight="1" x14ac:dyDescent="0.25">
      <c r="A8" s="2"/>
      <c r="B8" s="2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spans="1:35" ht="15" customHeight="1" x14ac:dyDescent="0.25">
      <c r="A9" s="2"/>
      <c r="B9" s="35" t="s">
        <v>2</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spans="1:35" ht="15" customHeight="1" x14ac:dyDescent="0.25">
      <c r="A10" s="2"/>
      <c r="B10" s="27"/>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spans="1:35" ht="15" customHeight="1" x14ac:dyDescent="0.25">
      <c r="A11" s="2"/>
      <c r="B11" s="35" t="s">
        <v>3</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spans="1:35" ht="15" customHeight="1" x14ac:dyDescent="0.25">
      <c r="A12" s="2"/>
      <c r="B12" s="27"/>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spans="1:35" ht="15" customHeight="1" x14ac:dyDescent="0.25">
      <c r="A13" s="2"/>
      <c r="B13" s="35" t="s">
        <v>4</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spans="1:35" ht="15" customHeight="1" x14ac:dyDescent="0.25">
      <c r="A14" s="2"/>
      <c r="B14" s="26"/>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spans="1:35" ht="15" customHeight="1" x14ac:dyDescent="0.25">
      <c r="A15" s="2"/>
      <c r="B15" s="35" t="s">
        <v>5</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spans="1:35" ht="15" customHeight="1" x14ac:dyDescent="0.25">
      <c r="A16" s="2"/>
      <c r="B16" s="26"/>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spans="1:35" ht="15" customHeight="1" x14ac:dyDescent="0.25">
      <c r="A17" s="2"/>
      <c r="B17" s="35" t="s">
        <v>6</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spans="1:35" ht="15" customHeight="1" x14ac:dyDescent="0.25">
      <c r="A18" s="2"/>
      <c r="B18" s="28"/>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spans="1:35" ht="15" customHeight="1" x14ac:dyDescent="0.25">
      <c r="A19" s="2"/>
      <c r="B19" s="35" t="s">
        <v>7</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spans="1:35" ht="15" customHeight="1" x14ac:dyDescent="0.25">
      <c r="A20" s="2"/>
      <c r="B20" s="26"/>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spans="1:35" ht="15" customHeight="1" x14ac:dyDescent="0.25">
      <c r="A21" s="2"/>
      <c r="B21" s="35" t="s">
        <v>8</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spans="1:35" ht="15" customHeight="1" x14ac:dyDescent="0.25">
      <c r="A22" s="2"/>
      <c r="B22" s="28"/>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spans="1:35" ht="15" customHeight="1" x14ac:dyDescent="0.25">
      <c r="A23" s="2"/>
      <c r="B23" s="35" t="s">
        <v>9</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spans="1:35" ht="15" customHeight="1" x14ac:dyDescent="0.25">
      <c r="A24" s="2"/>
      <c r="B24" s="26"/>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spans="1:35" ht="15" customHeight="1" x14ac:dyDescent="0.25">
      <c r="A25" s="2"/>
      <c r="B25" s="35" t="s">
        <v>10</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spans="1:35" ht="15" customHeight="1" x14ac:dyDescent="0.25">
      <c r="A26" s="2"/>
      <c r="B26" s="26"/>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spans="1:35" ht="15" customHeight="1" x14ac:dyDescent="0.25">
      <c r="A27" s="2"/>
      <c r="B27" s="35" t="s">
        <v>11</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spans="1:35" ht="15" customHeight="1" x14ac:dyDescent="0.25">
      <c r="A28" s="2"/>
      <c r="B28" s="26"/>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spans="1:35" ht="15" customHeight="1" x14ac:dyDescent="0.25">
      <c r="A29" s="2"/>
      <c r="B29" s="35" t="s">
        <v>12</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spans="1:35" ht="15" customHeight="1" x14ac:dyDescent="0.25">
      <c r="A30" s="2"/>
      <c r="B30" s="26"/>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spans="1:35" ht="15" customHeight="1" x14ac:dyDescent="0.25">
      <c r="A31" s="2"/>
      <c r="B31" s="35" t="s">
        <v>13</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spans="1:35" ht="15" customHeight="1" x14ac:dyDescent="0.25">
      <c r="A32" s="2"/>
      <c r="B32" s="26"/>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spans="1:35" ht="15" customHeight="1" x14ac:dyDescent="0.25">
      <c r="A33" s="2"/>
      <c r="B33" s="35" t="s">
        <v>14</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spans="1:35" ht="15" customHeight="1" x14ac:dyDescent="0.25">
      <c r="A34" s="2"/>
      <c r="B34" s="26"/>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spans="1:35" ht="15" customHeight="1" x14ac:dyDescent="0.25">
      <c r="A35" s="2"/>
      <c r="B35" s="35" t="s">
        <v>15</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spans="1:35" ht="15" customHeight="1" x14ac:dyDescent="0.25">
      <c r="A36" s="2"/>
      <c r="B36" s="27"/>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spans="1:35" ht="15" customHeight="1" x14ac:dyDescent="0.25">
      <c r="A37" s="2"/>
      <c r="B37" s="35" t="s">
        <v>16</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spans="1:35" ht="15" customHeight="1" x14ac:dyDescent="0.25">
      <c r="A38" s="2"/>
      <c r="B38" s="26"/>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spans="1:35" ht="15" customHeight="1" x14ac:dyDescent="0.25">
      <c r="A39" s="2"/>
      <c r="B39" s="35" t="s">
        <v>17</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spans="1:35" ht="15" customHeight="1" x14ac:dyDescent="0.25">
      <c r="A40" s="2"/>
      <c r="B40" s="26"/>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spans="1:35" ht="15" customHeight="1" x14ac:dyDescent="0.25">
      <c r="A41" s="2"/>
      <c r="B41" s="35" t="s">
        <v>18</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spans="1:35" ht="15" customHeight="1" x14ac:dyDescent="0.25">
      <c r="A42" s="2"/>
      <c r="B42" s="26"/>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spans="1:35" ht="15" customHeight="1" x14ac:dyDescent="0.25">
      <c r="A43" s="2"/>
      <c r="B43" s="35" t="s">
        <v>19</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spans="1:35" ht="15" customHeight="1" x14ac:dyDescent="0.25">
      <c r="A44" s="2"/>
      <c r="B44" s="26"/>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spans="1:35" ht="15" customHeight="1" x14ac:dyDescent="0.25">
      <c r="A45" s="2"/>
      <c r="B45" s="35" t="s">
        <v>20</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spans="1:35" ht="15" customHeight="1" x14ac:dyDescent="0.25">
      <c r="A46" s="2"/>
      <c r="B46" s="28"/>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spans="1:35" ht="15.75" customHeight="1" x14ac:dyDescent="0.25">
      <c r="A47" s="2"/>
      <c r="B47" s="35" t="s">
        <v>21</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spans="1:35" ht="15.75" customHeight="1" x14ac:dyDescent="0.25">
      <c r="A48" s="2"/>
      <c r="B48" s="28"/>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spans="1:35" ht="15.75" customHeight="1" x14ac:dyDescent="0.25">
      <c r="A49" s="2"/>
      <c r="B49" s="35" t="s">
        <v>22</v>
      </c>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spans="1:35" ht="15.75" customHeight="1" x14ac:dyDescent="0.25">
      <c r="A50" s="2"/>
      <c r="B50" s="28"/>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spans="1:35" ht="15.75" customHeight="1" x14ac:dyDescent="0.25">
      <c r="A51" s="2"/>
      <c r="B51" s="29" t="s">
        <v>23</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spans="1:35" ht="15.75" customHeight="1" x14ac:dyDescent="0.25">
      <c r="A52" s="2"/>
      <c r="B52" s="30"/>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spans="1:3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spans="1:35" x14ac:dyDescent="0.2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spans="1:3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spans="1:35" x14ac:dyDescent="0.25">
      <c r="A56" s="2"/>
      <c r="B56" s="3"/>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spans="1:3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spans="1:35" x14ac:dyDescent="0.25">
      <c r="A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spans="1:3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spans="1:3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spans="1:3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spans="1:3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spans="1:3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spans="1:3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spans="1:3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spans="1:3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spans="1:3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spans="1:3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spans="1:3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spans="1:3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spans="1:3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spans="1:3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spans="1:3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spans="1:3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spans="1:3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spans="1:3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spans="1:3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spans="1:3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spans="1:3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spans="1:3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spans="1:3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spans="1:3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spans="1:3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spans="1:3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spans="1:3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spans="1:3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spans="1:3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spans="1:3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spans="1:3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spans="1:3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spans="1:3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spans="1:3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spans="1:3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spans="1:3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spans="1:3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spans="1:3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spans="1:3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spans="1:3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spans="1:3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spans="1:3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spans="1:3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spans="1:3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spans="1:3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x14ac:dyDescent="0.25">
      <c r="B232" s="2"/>
    </row>
    <row r="233" spans="1:35" x14ac:dyDescent="0.25">
      <c r="B233" s="2"/>
    </row>
    <row r="234" spans="1:35" x14ac:dyDescent="0.25">
      <c r="B234" s="2"/>
    </row>
    <row r="235" spans="1:35" x14ac:dyDescent="0.25">
      <c r="B235" s="2"/>
    </row>
  </sheetData>
  <hyperlinks>
    <hyperlink ref="B9" location="'Table 3.1'!A1" display="Table 3.1: Separations and patient days, by age group and sex, all hospitals, 2024–25" xr:uid="{00000000-0004-0000-0000-000000000000}"/>
    <hyperlink ref="B11" location="'Table 3.2'!A1" display="Table 3.2: Separations, by Indigenous status, public and private hospitals, 2024–25" xr:uid="{00000000-0004-0000-0000-000001000000}"/>
    <hyperlink ref="B13" location="'Table 3.3'!A1" display="Table 3.3: Separations, by type of care and Indigenous status, all hospitals, 2024–25" xr:uid="{00000000-0004-0000-0000-000002000000}"/>
    <hyperlink ref="B15" location="'Table 3.4'!A1" display="Table 3.4: Separations by Indigenous status, age group and sex, all hospitals, 2024–25" xr:uid="{00000000-0004-0000-0000-000003000000}"/>
    <hyperlink ref="B17" location="'Table 3.5'!A1" display="Table 3.5: Selected separation statistics, by remoteness of area of usual residence, public and private hospitals, 2024–25" xr:uid="{00000000-0004-0000-0000-000004000000}"/>
    <hyperlink ref="B19" location="'Table 3.6'!A1" display="Table 3.6: Selected separation statistics, by socioeconomic area of usual residence, public and private hospitals, 2024–25" xr:uid="{00000000-0004-0000-0000-000005000000}"/>
    <hyperlink ref="B21" location="'Table 3.7'!A1" display="Table 3.7: Percentage change in separations by sex and age group, all hospitals, 2024–25" xr:uid="{00000000-0004-0000-0000-000006000000}"/>
    <hyperlink ref="B23" location="'Table 3.8'!A1" display="Table 3.8: Separations per 1,000 population by sex and age group, all hospitals, 2024–25" xr:uid="{00000000-0004-0000-0000-000007000000}"/>
    <hyperlink ref="B25" location="'Table S3.1'!A1" display="Table S3.1: Separations, by age group and sex, public hospitals, states and territories, 2024–25" xr:uid="{00000000-0004-0000-0000-000008000000}"/>
    <hyperlink ref="B27" location="'Table S3.2'!A1" display="Table S3.2: Patient days, by age group and sex, public hospitals, states and territories, 2024–25" xr:uid="{00000000-0004-0000-0000-000009000000}"/>
    <hyperlink ref="B29" location="'Table S3.3'!A1" display="Table S3.3: Separations, by age group and sex, private hospitals, states and territories, 2024–25" xr:uid="{00000000-0004-0000-0000-00000A000000}"/>
    <hyperlink ref="B31" location="'Table S3.4'!A1" display="Table S3.4: Patient days, by age group and sex, private hospitals, states and territories, 2024–25" xr:uid="{00000000-0004-0000-0000-00000B000000}"/>
    <hyperlink ref="B33" location="'Table S3.5'!A1" display="Table S3.5: Separations, by age group and funding source, public and private hospitals, 2024–25" xr:uid="{00000000-0004-0000-0000-00000C000000}"/>
    <hyperlink ref="B35" location="'Table S3.6'!A1" display="Table S3.6: Acute separations, by age group, sex and same-day/overnight status, all hospitals, 2024–25" xr:uid="{00000000-0004-0000-0000-00000D000000}"/>
    <hyperlink ref="B37" location="'Table S3.7'!A1" display="Table S3.7: Separations, by Indigenous status, public and private hospitals, states and territories, 2024–25" xr:uid="{00000000-0004-0000-0000-00000E000000}"/>
    <hyperlink ref="B39" location="'Table S3.8'!A1" display="Table S3.8: Overnight separations, by Indigenous status, public and private hospitals, states and territories, 2024–25" xr:uid="{00000000-0004-0000-0000-00000F000000}"/>
    <hyperlink ref="B41" location="'Table S3.9'!A1" display="Table S3.9: Same-day and overnight acute separations per 1,000 population, by Indigenous status, all hospitals, states and territories, 2024–25" xr:uid="{00000000-0004-0000-0000-000010000000}"/>
    <hyperlink ref="B43" location="'Table S3.10'!A1" display="Table S3.10: Separations by funding source and remoteness of area of usual residence, public and private hospitals, 2024–25" xr:uid="{00000000-0004-0000-0000-000011000000}"/>
    <hyperlink ref="B45" location="'Table S3.11'!A1" display="Table S3.11: Selected separation statistics, for same-day and overnight acute separations, by remoteness of area of usual residence, all hospitals, 2024–25" xr:uid="{00000000-0004-0000-0000-000012000000}"/>
    <hyperlink ref="B47" location="'Table S3.12'!A1" display="Table S3.12: Separations by funding source and socioeconomic area of usual residence, public and private hospitals, 2024–25" xr:uid="{00000000-0004-0000-0000-000013000000}"/>
    <hyperlink ref="B49" location="'Table S3.13'!A1" display="Table S3.13: Selected separation statistics, for same-day acute and overnight acute separations, by socioeconomic area of usual residence, all hospitals, 2024–25" xr:uid="{00000000-0004-0000-0000-000014000000}"/>
    <hyperlink ref="B51" location="'Technical specifications'!A1" display="Technical Specifications 2018-19" xr:uid="{00000000-0004-0000-0000-000015000000}"/>
  </hyperlinks>
  <pageMargins left="0.7" right="0.7" top="0.75" bottom="0.75" header="0.3" footer="0.3"/>
  <pageSetup paperSize="9" scale="82"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1"/>
  <sheetViews>
    <sheetView topLeftCell="A14" workbookViewId="0">
      <selection sqref="A1:E1"/>
    </sheetView>
  </sheetViews>
  <sheetFormatPr defaultRowHeight="15" x14ac:dyDescent="0.25"/>
  <cols>
    <col min="1" max="1" width="17" customWidth="1"/>
    <col min="2" max="5" width="12" customWidth="1"/>
  </cols>
  <sheetData>
    <row r="1" spans="1:5" ht="33.75" customHeight="1" x14ac:dyDescent="0.25">
      <c r="A1" s="73" t="s">
        <v>2</v>
      </c>
      <c r="B1" s="74"/>
      <c r="C1" s="74"/>
      <c r="D1" s="74"/>
      <c r="E1" s="74"/>
    </row>
    <row r="2" spans="1:5" x14ac:dyDescent="0.25">
      <c r="A2" s="37" t="s">
        <v>125</v>
      </c>
      <c r="B2" s="37" t="s">
        <v>126</v>
      </c>
      <c r="C2" s="38" t="s">
        <v>127</v>
      </c>
      <c r="D2" s="38" t="s">
        <v>128</v>
      </c>
      <c r="E2" s="38" t="s">
        <v>129</v>
      </c>
    </row>
    <row r="3" spans="1:5" x14ac:dyDescent="0.25">
      <c r="A3" s="39" t="s">
        <v>130</v>
      </c>
      <c r="B3" s="39" t="s">
        <v>131</v>
      </c>
      <c r="C3" s="40">
        <v>232842</v>
      </c>
      <c r="D3" s="40">
        <v>173653</v>
      </c>
      <c r="E3" s="40">
        <v>406915</v>
      </c>
    </row>
    <row r="4" spans="1:5" x14ac:dyDescent="0.25">
      <c r="A4" s="39" t="s">
        <v>132</v>
      </c>
      <c r="B4" s="39" t="s">
        <v>131</v>
      </c>
      <c r="C4" s="40">
        <v>98833</v>
      </c>
      <c r="D4" s="40">
        <v>76012</v>
      </c>
      <c r="E4" s="40">
        <v>174869</v>
      </c>
    </row>
    <row r="5" spans="1:5" x14ac:dyDescent="0.25">
      <c r="A5" s="39" t="s">
        <v>133</v>
      </c>
      <c r="B5" s="39" t="s">
        <v>131</v>
      </c>
      <c r="C5" s="40">
        <v>81904</v>
      </c>
      <c r="D5" s="40">
        <v>68485</v>
      </c>
      <c r="E5" s="40">
        <v>150456</v>
      </c>
    </row>
    <row r="6" spans="1:5" x14ac:dyDescent="0.25">
      <c r="A6" s="39" t="s">
        <v>134</v>
      </c>
      <c r="B6" s="39" t="s">
        <v>131</v>
      </c>
      <c r="C6" s="40">
        <v>112318</v>
      </c>
      <c r="D6" s="40">
        <v>144448</v>
      </c>
      <c r="E6" s="40">
        <v>257040</v>
      </c>
    </row>
    <row r="7" spans="1:5" x14ac:dyDescent="0.25">
      <c r="A7" s="39" t="s">
        <v>135</v>
      </c>
      <c r="B7" s="39" t="s">
        <v>131</v>
      </c>
      <c r="C7" s="40">
        <v>124714</v>
      </c>
      <c r="D7" s="40">
        <v>231053</v>
      </c>
      <c r="E7" s="40">
        <v>356190</v>
      </c>
    </row>
    <row r="8" spans="1:5" x14ac:dyDescent="0.25">
      <c r="A8" s="39" t="s">
        <v>136</v>
      </c>
      <c r="B8" s="39" t="s">
        <v>131</v>
      </c>
      <c r="C8" s="40">
        <v>142101</v>
      </c>
      <c r="D8" s="40">
        <v>338717</v>
      </c>
      <c r="E8" s="40">
        <v>481272</v>
      </c>
    </row>
    <row r="9" spans="1:5" x14ac:dyDescent="0.25">
      <c r="A9" s="39" t="s">
        <v>137</v>
      </c>
      <c r="B9" s="39" t="s">
        <v>131</v>
      </c>
      <c r="C9" s="40">
        <v>175363</v>
      </c>
      <c r="D9" s="40">
        <v>450728</v>
      </c>
      <c r="E9" s="40">
        <v>626551</v>
      </c>
    </row>
    <row r="10" spans="1:5" x14ac:dyDescent="0.25">
      <c r="A10" s="39" t="s">
        <v>138</v>
      </c>
      <c r="B10" s="39" t="s">
        <v>131</v>
      </c>
      <c r="C10" s="40">
        <v>210290</v>
      </c>
      <c r="D10" s="40">
        <v>430444</v>
      </c>
      <c r="E10" s="40">
        <v>641110</v>
      </c>
    </row>
    <row r="11" spans="1:5" x14ac:dyDescent="0.25">
      <c r="A11" s="39" t="s">
        <v>139</v>
      </c>
      <c r="B11" s="39" t="s">
        <v>131</v>
      </c>
      <c r="C11" s="40">
        <v>243006</v>
      </c>
      <c r="D11" s="40">
        <v>353199</v>
      </c>
      <c r="E11" s="40">
        <v>596870</v>
      </c>
    </row>
    <row r="12" spans="1:5" x14ac:dyDescent="0.25">
      <c r="A12" s="39" t="s">
        <v>140</v>
      </c>
      <c r="B12" s="39" t="s">
        <v>131</v>
      </c>
      <c r="C12" s="40">
        <v>274497</v>
      </c>
      <c r="D12" s="40">
        <v>333063</v>
      </c>
      <c r="E12" s="40">
        <v>608385</v>
      </c>
    </row>
    <row r="13" spans="1:5" x14ac:dyDescent="0.25">
      <c r="A13" s="39" t="s">
        <v>141</v>
      </c>
      <c r="B13" s="39" t="s">
        <v>131</v>
      </c>
      <c r="C13" s="40">
        <v>382499</v>
      </c>
      <c r="D13" s="40">
        <v>412871</v>
      </c>
      <c r="E13" s="40">
        <v>796182</v>
      </c>
    </row>
    <row r="14" spans="1:5" x14ac:dyDescent="0.25">
      <c r="A14" s="39" t="s">
        <v>142</v>
      </c>
      <c r="B14" s="39" t="s">
        <v>131</v>
      </c>
      <c r="C14" s="40">
        <v>446662</v>
      </c>
      <c r="D14" s="40">
        <v>432971</v>
      </c>
      <c r="E14" s="40">
        <v>880740</v>
      </c>
    </row>
    <row r="15" spans="1:5" x14ac:dyDescent="0.25">
      <c r="A15" s="39" t="s">
        <v>143</v>
      </c>
      <c r="B15" s="39" t="s">
        <v>131</v>
      </c>
      <c r="C15" s="40">
        <v>564784</v>
      </c>
      <c r="D15" s="40">
        <v>518926</v>
      </c>
      <c r="E15" s="40">
        <v>1084861</v>
      </c>
    </row>
    <row r="16" spans="1:5" x14ac:dyDescent="0.25">
      <c r="A16" s="39" t="s">
        <v>144</v>
      </c>
      <c r="B16" s="39" t="s">
        <v>131</v>
      </c>
      <c r="C16" s="40">
        <v>633155</v>
      </c>
      <c r="D16" s="40">
        <v>577089</v>
      </c>
      <c r="E16" s="40">
        <v>1212593</v>
      </c>
    </row>
    <row r="17" spans="1:5" x14ac:dyDescent="0.25">
      <c r="A17" s="39" t="s">
        <v>145</v>
      </c>
      <c r="B17" s="39" t="s">
        <v>131</v>
      </c>
      <c r="C17" s="40">
        <v>685985</v>
      </c>
      <c r="D17" s="40">
        <v>609381</v>
      </c>
      <c r="E17" s="40">
        <v>1297145</v>
      </c>
    </row>
    <row r="18" spans="1:5" x14ac:dyDescent="0.25">
      <c r="A18" s="39" t="s">
        <v>146</v>
      </c>
      <c r="B18" s="39" t="s">
        <v>131</v>
      </c>
      <c r="C18" s="40">
        <v>737595</v>
      </c>
      <c r="D18" s="40">
        <v>620587</v>
      </c>
      <c r="E18" s="40">
        <v>1359971</v>
      </c>
    </row>
    <row r="19" spans="1:5" x14ac:dyDescent="0.25">
      <c r="A19" s="39" t="s">
        <v>147</v>
      </c>
      <c r="B19" s="39" t="s">
        <v>131</v>
      </c>
      <c r="C19" s="40">
        <v>527645</v>
      </c>
      <c r="D19" s="40">
        <v>439151</v>
      </c>
      <c r="E19" s="40">
        <v>967882</v>
      </c>
    </row>
    <row r="20" spans="1:5" x14ac:dyDescent="0.25">
      <c r="A20" s="39" t="s">
        <v>148</v>
      </c>
      <c r="B20" s="39" t="s">
        <v>131</v>
      </c>
      <c r="C20" s="40">
        <v>294165</v>
      </c>
      <c r="D20" s="40">
        <v>279921</v>
      </c>
      <c r="E20" s="40">
        <v>574389</v>
      </c>
    </row>
    <row r="21" spans="1:5" x14ac:dyDescent="0.25">
      <c r="A21" s="39" t="s">
        <v>149</v>
      </c>
      <c r="B21" s="39" t="s">
        <v>131</v>
      </c>
      <c r="C21" s="40">
        <v>105132</v>
      </c>
      <c r="D21" s="40">
        <v>128084</v>
      </c>
      <c r="E21" s="40">
        <v>233275</v>
      </c>
    </row>
    <row r="22" spans="1:5" x14ac:dyDescent="0.25">
      <c r="A22" s="39" t="s">
        <v>150</v>
      </c>
      <c r="B22" s="39" t="s">
        <v>131</v>
      </c>
      <c r="C22" s="40">
        <v>26086</v>
      </c>
      <c r="D22" s="40">
        <v>43630</v>
      </c>
      <c r="E22" s="40">
        <v>69743</v>
      </c>
    </row>
    <row r="23" spans="1:5" x14ac:dyDescent="0.25">
      <c r="A23" s="41" t="s">
        <v>151</v>
      </c>
      <c r="B23" s="41" t="s">
        <v>131</v>
      </c>
      <c r="C23" s="42">
        <v>6099597</v>
      </c>
      <c r="D23" s="42">
        <v>6662421</v>
      </c>
      <c r="E23" s="42">
        <v>12776704</v>
      </c>
    </row>
    <row r="24" spans="1:5" x14ac:dyDescent="0.25">
      <c r="A24" s="39" t="s">
        <v>130</v>
      </c>
      <c r="B24" s="39" t="s">
        <v>152</v>
      </c>
      <c r="C24" s="40">
        <v>668901</v>
      </c>
      <c r="D24" s="40">
        <v>536240</v>
      </c>
      <c r="E24" s="40">
        <v>1209198</v>
      </c>
    </row>
    <row r="25" spans="1:5" x14ac:dyDescent="0.25">
      <c r="A25" s="39" t="s">
        <v>132</v>
      </c>
      <c r="B25" s="39" t="s">
        <v>152</v>
      </c>
      <c r="C25" s="40">
        <v>146121</v>
      </c>
      <c r="D25" s="40">
        <v>114989</v>
      </c>
      <c r="E25" s="40">
        <v>261147</v>
      </c>
    </row>
    <row r="26" spans="1:5" x14ac:dyDescent="0.25">
      <c r="A26" s="39" t="s">
        <v>133</v>
      </c>
      <c r="B26" s="39" t="s">
        <v>152</v>
      </c>
      <c r="C26" s="40">
        <v>142173</v>
      </c>
      <c r="D26" s="40">
        <v>139807</v>
      </c>
      <c r="E26" s="40">
        <v>282130</v>
      </c>
    </row>
    <row r="27" spans="1:5" x14ac:dyDescent="0.25">
      <c r="A27" s="39" t="s">
        <v>134</v>
      </c>
      <c r="B27" s="39" t="s">
        <v>152</v>
      </c>
      <c r="C27" s="40">
        <v>242935</v>
      </c>
      <c r="D27" s="40">
        <v>329773</v>
      </c>
      <c r="E27" s="40">
        <v>573532</v>
      </c>
    </row>
    <row r="28" spans="1:5" x14ac:dyDescent="0.25">
      <c r="A28" s="39" t="s">
        <v>135</v>
      </c>
      <c r="B28" s="39" t="s">
        <v>152</v>
      </c>
      <c r="C28" s="40">
        <v>331471</v>
      </c>
      <c r="D28" s="40">
        <v>487034</v>
      </c>
      <c r="E28" s="40">
        <v>819950</v>
      </c>
    </row>
    <row r="29" spans="1:5" x14ac:dyDescent="0.25">
      <c r="A29" s="39" t="s">
        <v>136</v>
      </c>
      <c r="B29" s="39" t="s">
        <v>152</v>
      </c>
      <c r="C29" s="40">
        <v>406134</v>
      </c>
      <c r="D29" s="40">
        <v>730943</v>
      </c>
      <c r="E29" s="40">
        <v>1138392</v>
      </c>
    </row>
    <row r="30" spans="1:5" x14ac:dyDescent="0.25">
      <c r="A30" s="39" t="s">
        <v>137</v>
      </c>
      <c r="B30" s="39" t="s">
        <v>152</v>
      </c>
      <c r="C30" s="40">
        <v>479807</v>
      </c>
      <c r="D30" s="40">
        <v>986916</v>
      </c>
      <c r="E30" s="40">
        <v>1467855</v>
      </c>
    </row>
    <row r="31" spans="1:5" x14ac:dyDescent="0.25">
      <c r="A31" s="39" t="s">
        <v>138</v>
      </c>
      <c r="B31" s="39" t="s">
        <v>152</v>
      </c>
      <c r="C31" s="40">
        <v>537681</v>
      </c>
      <c r="D31" s="40">
        <v>909626</v>
      </c>
      <c r="E31" s="40">
        <v>1447976</v>
      </c>
    </row>
    <row r="32" spans="1:5" x14ac:dyDescent="0.25">
      <c r="A32" s="39" t="s">
        <v>139</v>
      </c>
      <c r="B32" s="39" t="s">
        <v>152</v>
      </c>
      <c r="C32" s="40">
        <v>640201</v>
      </c>
      <c r="D32" s="40">
        <v>739639</v>
      </c>
      <c r="E32" s="40">
        <v>1381016</v>
      </c>
    </row>
    <row r="33" spans="1:5" x14ac:dyDescent="0.25">
      <c r="A33" s="39" t="s">
        <v>140</v>
      </c>
      <c r="B33" s="39" t="s">
        <v>152</v>
      </c>
      <c r="C33" s="40">
        <v>693249</v>
      </c>
      <c r="D33" s="40">
        <v>717705</v>
      </c>
      <c r="E33" s="40">
        <v>1412080</v>
      </c>
    </row>
    <row r="34" spans="1:5" x14ac:dyDescent="0.25">
      <c r="A34" s="39" t="s">
        <v>141</v>
      </c>
      <c r="B34" s="39" t="s">
        <v>152</v>
      </c>
      <c r="C34" s="40">
        <v>909043</v>
      </c>
      <c r="D34" s="40">
        <v>896342</v>
      </c>
      <c r="E34" s="40">
        <v>1806768</v>
      </c>
    </row>
    <row r="35" spans="1:5" x14ac:dyDescent="0.25">
      <c r="A35" s="39" t="s">
        <v>142</v>
      </c>
      <c r="B35" s="39" t="s">
        <v>152</v>
      </c>
      <c r="C35" s="40">
        <v>1075508</v>
      </c>
      <c r="D35" s="40">
        <v>960368</v>
      </c>
      <c r="E35" s="40">
        <v>2037681</v>
      </c>
    </row>
    <row r="36" spans="1:5" x14ac:dyDescent="0.25">
      <c r="A36" s="39" t="s">
        <v>143</v>
      </c>
      <c r="B36" s="39" t="s">
        <v>152</v>
      </c>
      <c r="C36" s="40">
        <v>1374395</v>
      </c>
      <c r="D36" s="40">
        <v>1215408</v>
      </c>
      <c r="E36" s="40">
        <v>2591239</v>
      </c>
    </row>
    <row r="37" spans="1:5" x14ac:dyDescent="0.25">
      <c r="A37" s="39" t="s">
        <v>144</v>
      </c>
      <c r="B37" s="39" t="s">
        <v>152</v>
      </c>
      <c r="C37" s="40">
        <v>1551294</v>
      </c>
      <c r="D37" s="40">
        <v>1374984</v>
      </c>
      <c r="E37" s="40">
        <v>2929201</v>
      </c>
    </row>
    <row r="38" spans="1:5" x14ac:dyDescent="0.25">
      <c r="A38" s="39" t="s">
        <v>145</v>
      </c>
      <c r="B38" s="39" t="s">
        <v>152</v>
      </c>
      <c r="C38" s="40">
        <v>1773750</v>
      </c>
      <c r="D38" s="40">
        <v>1580474</v>
      </c>
      <c r="E38" s="40">
        <v>3356435</v>
      </c>
    </row>
    <row r="39" spans="1:5" x14ac:dyDescent="0.25">
      <c r="A39" s="39" t="s">
        <v>146</v>
      </c>
      <c r="B39" s="39" t="s">
        <v>152</v>
      </c>
      <c r="C39" s="40">
        <v>2049831</v>
      </c>
      <c r="D39" s="40">
        <v>1855559</v>
      </c>
      <c r="E39" s="40">
        <v>3908040</v>
      </c>
    </row>
    <row r="40" spans="1:5" x14ac:dyDescent="0.25">
      <c r="A40" s="39" t="s">
        <v>147</v>
      </c>
      <c r="B40" s="39" t="s">
        <v>152</v>
      </c>
      <c r="C40" s="40">
        <v>1703825</v>
      </c>
      <c r="D40" s="40">
        <v>1654965</v>
      </c>
      <c r="E40" s="40">
        <v>3360455</v>
      </c>
    </row>
    <row r="41" spans="1:5" x14ac:dyDescent="0.25">
      <c r="A41" s="39" t="s">
        <v>148</v>
      </c>
      <c r="B41" s="39" t="s">
        <v>152</v>
      </c>
      <c r="C41" s="40">
        <v>1211072</v>
      </c>
      <c r="D41" s="40">
        <v>1375705</v>
      </c>
      <c r="E41" s="40">
        <v>2587244</v>
      </c>
    </row>
    <row r="42" spans="1:5" x14ac:dyDescent="0.25">
      <c r="A42" s="39" t="s">
        <v>149</v>
      </c>
      <c r="B42" s="39" t="s">
        <v>152</v>
      </c>
      <c r="C42" s="40">
        <v>567236</v>
      </c>
      <c r="D42" s="40">
        <v>761558</v>
      </c>
      <c r="E42" s="40">
        <v>1329003</v>
      </c>
    </row>
    <row r="43" spans="1:5" x14ac:dyDescent="0.25">
      <c r="A43" s="39" t="s">
        <v>150</v>
      </c>
      <c r="B43" s="39" t="s">
        <v>152</v>
      </c>
      <c r="C43" s="40">
        <v>156948</v>
      </c>
      <c r="D43" s="40">
        <v>287979</v>
      </c>
      <c r="E43" s="40">
        <v>444985</v>
      </c>
    </row>
    <row r="44" spans="1:5" x14ac:dyDescent="0.25">
      <c r="A44" s="43" t="s">
        <v>151</v>
      </c>
      <c r="B44" s="43" t="s">
        <v>152</v>
      </c>
      <c r="C44" s="44">
        <v>16661605</v>
      </c>
      <c r="D44" s="44">
        <v>17656043</v>
      </c>
      <c r="E44" s="44">
        <v>34344990</v>
      </c>
    </row>
    <row r="45" spans="1:5" x14ac:dyDescent="0.25">
      <c r="A45" s="45"/>
      <c r="B45" s="36"/>
      <c r="C45" s="36"/>
      <c r="D45" s="36"/>
      <c r="E45" s="36"/>
    </row>
    <row r="46" spans="1:5" x14ac:dyDescent="0.25">
      <c r="A46" s="36" t="s">
        <v>153</v>
      </c>
      <c r="B46" s="36"/>
      <c r="C46" s="36"/>
      <c r="D46" s="36"/>
      <c r="E46" s="36"/>
    </row>
    <row r="47" spans="1:5" x14ac:dyDescent="0.25">
      <c r="A47" s="46" t="s">
        <v>123</v>
      </c>
      <c r="B47" s="36"/>
      <c r="C47" s="36"/>
      <c r="D47" s="36"/>
      <c r="E47" s="36"/>
    </row>
    <row r="48" spans="1:5" x14ac:dyDescent="0.25">
      <c r="A48" s="36"/>
      <c r="B48" s="36"/>
      <c r="C48" s="36"/>
      <c r="D48" s="36"/>
      <c r="E48" s="36"/>
    </row>
    <row r="49" spans="1:5" x14ac:dyDescent="0.25">
      <c r="A49" s="46" t="s">
        <v>154</v>
      </c>
      <c r="B49" s="36"/>
      <c r="C49" s="36"/>
      <c r="D49" s="36"/>
      <c r="E49" s="36"/>
    </row>
    <row r="50" spans="1:5" x14ac:dyDescent="0.25">
      <c r="A50" s="36"/>
      <c r="B50" s="36"/>
      <c r="C50" s="36"/>
      <c r="D50" s="36"/>
      <c r="E50" s="36"/>
    </row>
    <row r="51" spans="1:5" x14ac:dyDescent="0.25">
      <c r="A51" s="46" t="s">
        <v>155</v>
      </c>
      <c r="B51" s="36"/>
      <c r="C51" s="36"/>
      <c r="D51" s="36"/>
      <c r="E51" s="36"/>
    </row>
  </sheetData>
  <mergeCells count="1">
    <mergeCell ref="A1:E1"/>
  </mergeCells>
  <hyperlinks>
    <hyperlink ref="A47" r:id="rId1" xr:uid="{00000000-0004-0000-0200-000000000000}"/>
    <hyperlink ref="A49" location="'Technical specifications'!A1" display="Technical specifications" xr:uid="{00000000-0004-0000-0200-000001000000}"/>
    <hyperlink ref="A51" location="Contents!A1" display="Back to contents" xr:uid="{00000000-0004-0000-02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selection sqref="A1:E1"/>
    </sheetView>
  </sheetViews>
  <sheetFormatPr defaultRowHeight="15" x14ac:dyDescent="0.25"/>
  <cols>
    <col min="1" max="1" width="30" customWidth="1"/>
    <col min="2" max="2" width="52" customWidth="1"/>
    <col min="3" max="5" width="20" customWidth="1"/>
  </cols>
  <sheetData>
    <row r="1" spans="1:5" ht="33.75" customHeight="1" x14ac:dyDescent="0.25">
      <c r="A1" s="73" t="s">
        <v>3</v>
      </c>
      <c r="B1" s="74"/>
      <c r="C1" s="74"/>
      <c r="D1" s="74"/>
      <c r="E1" s="74"/>
    </row>
    <row r="2" spans="1:5" x14ac:dyDescent="0.25">
      <c r="A2" s="37" t="s">
        <v>156</v>
      </c>
      <c r="B2" s="37" t="s">
        <v>157</v>
      </c>
      <c r="C2" s="38" t="s">
        <v>158</v>
      </c>
      <c r="D2" s="38" t="s">
        <v>159</v>
      </c>
      <c r="E2" s="38" t="s">
        <v>160</v>
      </c>
    </row>
    <row r="3" spans="1:5" x14ac:dyDescent="0.25">
      <c r="A3" s="39" t="s">
        <v>161</v>
      </c>
      <c r="B3" s="39" t="s">
        <v>162</v>
      </c>
      <c r="C3" s="40">
        <v>563429</v>
      </c>
      <c r="D3" s="40">
        <v>88051</v>
      </c>
      <c r="E3" s="40">
        <v>651480</v>
      </c>
    </row>
    <row r="4" spans="1:5" x14ac:dyDescent="0.25">
      <c r="A4" s="39" t="s">
        <v>161</v>
      </c>
      <c r="B4" s="39" t="s">
        <v>163</v>
      </c>
      <c r="C4" s="40">
        <v>22450</v>
      </c>
      <c r="D4" s="40">
        <v>5662</v>
      </c>
      <c r="E4" s="40">
        <v>28112</v>
      </c>
    </row>
    <row r="5" spans="1:5" x14ac:dyDescent="0.25">
      <c r="A5" s="39" t="s">
        <v>161</v>
      </c>
      <c r="B5" s="39" t="s">
        <v>164</v>
      </c>
      <c r="C5" s="40">
        <v>30144</v>
      </c>
      <c r="D5" s="40">
        <v>5982</v>
      </c>
      <c r="E5" s="40">
        <v>36126</v>
      </c>
    </row>
    <row r="6" spans="1:5" x14ac:dyDescent="0.25">
      <c r="A6" s="47" t="s">
        <v>161</v>
      </c>
      <c r="B6" s="47" t="s">
        <v>151</v>
      </c>
      <c r="C6" s="48">
        <v>616023</v>
      </c>
      <c r="D6" s="48">
        <v>99695</v>
      </c>
      <c r="E6" s="48">
        <v>715718</v>
      </c>
    </row>
    <row r="7" spans="1:5" x14ac:dyDescent="0.25">
      <c r="A7" s="39" t="s">
        <v>165</v>
      </c>
      <c r="B7" s="39" t="s">
        <v>166</v>
      </c>
      <c r="C7" s="40">
        <v>6964677</v>
      </c>
      <c r="D7" s="40">
        <v>4787708</v>
      </c>
      <c r="E7" s="40">
        <v>11752385</v>
      </c>
    </row>
    <row r="8" spans="1:5" x14ac:dyDescent="0.25">
      <c r="A8" s="39" t="s">
        <v>167</v>
      </c>
      <c r="B8" s="39" t="s">
        <v>167</v>
      </c>
      <c r="C8" s="40">
        <v>70852</v>
      </c>
      <c r="D8" s="40">
        <v>237749</v>
      </c>
      <c r="E8" s="40">
        <v>308601</v>
      </c>
    </row>
    <row r="9" spans="1:5" x14ac:dyDescent="0.25">
      <c r="A9" s="43" t="s">
        <v>151</v>
      </c>
      <c r="B9" s="43" t="s">
        <v>151</v>
      </c>
      <c r="C9" s="44">
        <v>7651552</v>
      </c>
      <c r="D9" s="44">
        <v>5125152</v>
      </c>
      <c r="E9" s="44">
        <v>12776704</v>
      </c>
    </row>
    <row r="10" spans="1:5" x14ac:dyDescent="0.25">
      <c r="A10" s="45"/>
      <c r="B10" s="36"/>
      <c r="C10" s="36"/>
      <c r="D10" s="36"/>
      <c r="E10" s="36"/>
    </row>
    <row r="11" spans="1:5" x14ac:dyDescent="0.25">
      <c r="A11" s="36" t="s">
        <v>153</v>
      </c>
      <c r="B11" s="36"/>
      <c r="C11" s="36"/>
      <c r="D11" s="36"/>
      <c r="E11" s="36"/>
    </row>
    <row r="12" spans="1:5" x14ac:dyDescent="0.25">
      <c r="A12" s="46" t="s">
        <v>123</v>
      </c>
      <c r="B12" s="36"/>
      <c r="C12" s="36"/>
      <c r="D12" s="36"/>
      <c r="E12" s="36"/>
    </row>
    <row r="13" spans="1:5" x14ac:dyDescent="0.25">
      <c r="A13" s="36"/>
      <c r="B13" s="36"/>
      <c r="C13" s="36"/>
      <c r="D13" s="36"/>
      <c r="E13" s="36"/>
    </row>
    <row r="14" spans="1:5" x14ac:dyDescent="0.25">
      <c r="A14" s="46" t="s">
        <v>154</v>
      </c>
      <c r="B14" s="36"/>
      <c r="C14" s="36"/>
      <c r="D14" s="36"/>
      <c r="E14" s="36"/>
    </row>
    <row r="15" spans="1:5" x14ac:dyDescent="0.25">
      <c r="A15" s="36"/>
      <c r="B15" s="36"/>
      <c r="C15" s="36"/>
      <c r="D15" s="36"/>
      <c r="E15" s="36"/>
    </row>
    <row r="16" spans="1:5" x14ac:dyDescent="0.25">
      <c r="A16" s="46" t="s">
        <v>155</v>
      </c>
      <c r="B16" s="36"/>
      <c r="C16" s="36"/>
      <c r="D16" s="36"/>
      <c r="E16" s="36"/>
    </row>
  </sheetData>
  <mergeCells count="1">
    <mergeCell ref="A1:E1"/>
  </mergeCells>
  <hyperlinks>
    <hyperlink ref="A12" r:id="rId1" xr:uid="{00000000-0004-0000-0300-000000000000}"/>
    <hyperlink ref="A14" location="'Technical specifications'!A1" display="Technical specifications" xr:uid="{00000000-0004-0000-0300-000001000000}"/>
    <hyperlink ref="A16" location="Contents!A1" display="Back to contents" xr:uid="{00000000-0004-0000-03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workbookViewId="0">
      <selection sqref="A1:G1"/>
    </sheetView>
  </sheetViews>
  <sheetFormatPr defaultRowHeight="15" x14ac:dyDescent="0.25"/>
  <cols>
    <col min="1" max="1" width="17" customWidth="1"/>
    <col min="2" max="2" width="39" customWidth="1"/>
    <col min="3" max="5" width="25" customWidth="1"/>
    <col min="6" max="6" width="20" customWidth="1"/>
    <col min="7" max="7" width="14.7109375" customWidth="1"/>
  </cols>
  <sheetData>
    <row r="1" spans="1:7" ht="33.75" customHeight="1" x14ac:dyDescent="0.25">
      <c r="A1" s="73" t="s">
        <v>4</v>
      </c>
      <c r="B1" s="74"/>
      <c r="C1" s="74"/>
      <c r="D1" s="74"/>
      <c r="E1" s="74"/>
      <c r="F1" s="74"/>
      <c r="G1" s="74"/>
    </row>
    <row r="2" spans="1:7" ht="15.75" thickBot="1" x14ac:dyDescent="0.3">
      <c r="A2" s="37" t="s">
        <v>131</v>
      </c>
      <c r="B2" s="37" t="s">
        <v>168</v>
      </c>
      <c r="C2" s="37" t="s">
        <v>126</v>
      </c>
      <c r="D2" s="38" t="s">
        <v>161</v>
      </c>
      <c r="E2" s="38" t="s">
        <v>165</v>
      </c>
      <c r="F2" s="38" t="s">
        <v>169</v>
      </c>
      <c r="G2" s="38" t="s">
        <v>151</v>
      </c>
    </row>
    <row r="3" spans="1:7" x14ac:dyDescent="0.25">
      <c r="A3" s="39" t="s">
        <v>170</v>
      </c>
      <c r="B3" s="39" t="s">
        <v>171</v>
      </c>
      <c r="C3" s="39" t="s">
        <v>131</v>
      </c>
      <c r="D3" s="40">
        <v>275820</v>
      </c>
      <c r="E3" s="40">
        <v>1451334</v>
      </c>
      <c r="F3" s="40">
        <v>1479232</v>
      </c>
      <c r="G3" s="40">
        <v>1755052</v>
      </c>
    </row>
    <row r="4" spans="1:7" x14ac:dyDescent="0.25">
      <c r="A4" s="39" t="s">
        <v>170</v>
      </c>
      <c r="B4" s="39" t="s">
        <v>172</v>
      </c>
      <c r="C4" s="39" t="s">
        <v>131</v>
      </c>
      <c r="D4" s="40">
        <v>179758</v>
      </c>
      <c r="E4" s="40">
        <v>5483765</v>
      </c>
      <c r="F4" s="40">
        <v>5661142</v>
      </c>
      <c r="G4" s="40">
        <v>5840900</v>
      </c>
    </row>
    <row r="5" spans="1:7" x14ac:dyDescent="0.25">
      <c r="A5" s="47" t="s">
        <v>170</v>
      </c>
      <c r="B5" s="47" t="s">
        <v>151</v>
      </c>
      <c r="C5" s="47" t="s">
        <v>131</v>
      </c>
      <c r="D5" s="48">
        <v>455578</v>
      </c>
      <c r="E5" s="48">
        <v>6935099</v>
      </c>
      <c r="F5" s="48">
        <v>7140374</v>
      </c>
      <c r="G5" s="48">
        <v>7595952</v>
      </c>
    </row>
    <row r="6" spans="1:7" x14ac:dyDescent="0.25">
      <c r="A6" s="39" t="s">
        <v>173</v>
      </c>
      <c r="B6" s="39" t="s">
        <v>151</v>
      </c>
      <c r="C6" s="39" t="s">
        <v>131</v>
      </c>
      <c r="D6" s="40">
        <v>228624</v>
      </c>
      <c r="E6" s="40">
        <v>3853804</v>
      </c>
      <c r="F6" s="40">
        <v>3918246</v>
      </c>
      <c r="G6" s="40">
        <v>4146870</v>
      </c>
    </row>
    <row r="7" spans="1:7" x14ac:dyDescent="0.25">
      <c r="A7" s="39" t="s">
        <v>174</v>
      </c>
      <c r="B7" s="39" t="s">
        <v>151</v>
      </c>
      <c r="C7" s="39" t="s">
        <v>131</v>
      </c>
      <c r="D7" s="40">
        <v>31516</v>
      </c>
      <c r="E7" s="40">
        <v>963482</v>
      </c>
      <c r="F7" s="40">
        <v>1002366</v>
      </c>
      <c r="G7" s="40">
        <v>1033882</v>
      </c>
    </row>
    <row r="8" spans="1:7" x14ac:dyDescent="0.25">
      <c r="A8" s="41" t="s">
        <v>175</v>
      </c>
      <c r="B8" s="41" t="s">
        <v>151</v>
      </c>
      <c r="C8" s="41" t="s">
        <v>131</v>
      </c>
      <c r="D8" s="42">
        <v>715718</v>
      </c>
      <c r="E8" s="42">
        <v>11752385</v>
      </c>
      <c r="F8" s="42">
        <v>12060986</v>
      </c>
      <c r="G8" s="42">
        <v>12776704</v>
      </c>
    </row>
    <row r="9" spans="1:7" x14ac:dyDescent="0.25">
      <c r="A9" s="39" t="s">
        <v>170</v>
      </c>
      <c r="B9" s="39" t="s">
        <v>171</v>
      </c>
      <c r="C9" s="39" t="s">
        <v>176</v>
      </c>
      <c r="D9" s="49">
        <v>433.51505538999999</v>
      </c>
      <c r="E9" s="49">
        <v>53.865529578</v>
      </c>
      <c r="F9" s="49">
        <v>54.897963005999998</v>
      </c>
      <c r="G9" s="49">
        <v>55.158574399999999</v>
      </c>
    </row>
    <row r="10" spans="1:7" x14ac:dyDescent="0.25">
      <c r="A10" s="39" t="s">
        <v>170</v>
      </c>
      <c r="B10" s="39" t="s">
        <v>172</v>
      </c>
      <c r="C10" s="39" t="s">
        <v>176</v>
      </c>
      <c r="D10" s="49">
        <v>224.92235029</v>
      </c>
      <c r="E10" s="49">
        <v>211.53179205000001</v>
      </c>
      <c r="F10" s="49">
        <v>218.28615721</v>
      </c>
      <c r="G10" s="49">
        <v>196.95673371000001</v>
      </c>
    </row>
    <row r="11" spans="1:7" x14ac:dyDescent="0.25">
      <c r="A11" s="47" t="s">
        <v>170</v>
      </c>
      <c r="B11" s="47" t="s">
        <v>151</v>
      </c>
      <c r="C11" s="47" t="s">
        <v>176</v>
      </c>
      <c r="D11" s="50">
        <v>658.43740568999999</v>
      </c>
      <c r="E11" s="50">
        <v>265.39732163000002</v>
      </c>
      <c r="F11" s="50">
        <v>273.18412022000001</v>
      </c>
      <c r="G11" s="50">
        <v>252.11530811</v>
      </c>
    </row>
    <row r="12" spans="1:7" x14ac:dyDescent="0.25">
      <c r="A12" s="39" t="s">
        <v>173</v>
      </c>
      <c r="B12" s="39" t="s">
        <v>151</v>
      </c>
      <c r="C12" s="39" t="s">
        <v>176</v>
      </c>
      <c r="D12" s="49">
        <v>283.51057617999999</v>
      </c>
      <c r="E12" s="49">
        <v>149.66913883000001</v>
      </c>
      <c r="F12" s="49">
        <v>152.16513416000001</v>
      </c>
      <c r="G12" s="49">
        <v>139.91964435</v>
      </c>
    </row>
    <row r="13" spans="1:7" x14ac:dyDescent="0.25">
      <c r="A13" s="39" t="s">
        <v>174</v>
      </c>
      <c r="B13" s="39" t="s">
        <v>151</v>
      </c>
      <c r="C13" s="39" t="s">
        <v>176</v>
      </c>
      <c r="D13" s="49">
        <v>42.482423883000003</v>
      </c>
      <c r="E13" s="49">
        <v>36.513872804999998</v>
      </c>
      <c r="F13" s="49">
        <v>37.974040615</v>
      </c>
      <c r="G13" s="49">
        <v>33.019412682000002</v>
      </c>
    </row>
    <row r="14" spans="1:7" s="60" customFormat="1" ht="15.75" thickBot="1" x14ac:dyDescent="0.3">
      <c r="A14" s="58" t="s">
        <v>175</v>
      </c>
      <c r="B14" s="58" t="s">
        <v>151</v>
      </c>
      <c r="C14" s="58" t="s">
        <v>176</v>
      </c>
      <c r="D14" s="59">
        <v>984.43040574999998</v>
      </c>
      <c r="E14" s="59">
        <v>451.58033325999997</v>
      </c>
      <c r="F14" s="59">
        <v>463.32329499000002</v>
      </c>
      <c r="G14" s="59">
        <v>425.05436514000002</v>
      </c>
    </row>
    <row r="15" spans="1:7" x14ac:dyDescent="0.25">
      <c r="A15" s="75" t="s">
        <v>177</v>
      </c>
      <c r="B15" s="76"/>
      <c r="C15" s="76"/>
      <c r="D15" s="76"/>
      <c r="E15" s="76"/>
      <c r="F15" s="76"/>
      <c r="G15" s="76"/>
    </row>
    <row r="16" spans="1:7" x14ac:dyDescent="0.25">
      <c r="A16" s="45"/>
      <c r="B16" s="36"/>
      <c r="C16" s="36"/>
      <c r="D16" s="36"/>
      <c r="E16" s="36"/>
      <c r="F16" s="36"/>
      <c r="G16" s="36"/>
    </row>
    <row r="17" spans="1:7" x14ac:dyDescent="0.25">
      <c r="A17" s="36" t="s">
        <v>153</v>
      </c>
      <c r="B17" s="36"/>
      <c r="C17" s="36"/>
      <c r="D17" s="36"/>
      <c r="E17" s="36"/>
      <c r="F17" s="36"/>
      <c r="G17" s="36"/>
    </row>
    <row r="18" spans="1:7" x14ac:dyDescent="0.25">
      <c r="A18" s="46" t="s">
        <v>123</v>
      </c>
      <c r="B18" s="36"/>
      <c r="C18" s="36"/>
      <c r="D18" s="36"/>
      <c r="E18" s="36"/>
      <c r="F18" s="36"/>
      <c r="G18" s="36"/>
    </row>
    <row r="19" spans="1:7" x14ac:dyDescent="0.25">
      <c r="A19" s="36"/>
      <c r="B19" s="36"/>
      <c r="C19" s="36"/>
      <c r="D19" s="36"/>
      <c r="E19" s="36"/>
      <c r="F19" s="36"/>
      <c r="G19" s="36"/>
    </row>
    <row r="20" spans="1:7" x14ac:dyDescent="0.25">
      <c r="A20" s="46" t="s">
        <v>154</v>
      </c>
      <c r="B20" s="36"/>
      <c r="C20" s="36"/>
      <c r="D20" s="36"/>
      <c r="E20" s="36"/>
      <c r="F20" s="36"/>
      <c r="G20" s="36"/>
    </row>
    <row r="21" spans="1:7" x14ac:dyDescent="0.25">
      <c r="A21" s="36"/>
      <c r="B21" s="36"/>
      <c r="C21" s="36"/>
      <c r="D21" s="36"/>
      <c r="E21" s="36"/>
      <c r="F21" s="36"/>
      <c r="G21" s="36"/>
    </row>
    <row r="22" spans="1:7" x14ac:dyDescent="0.25">
      <c r="A22" s="46" t="s">
        <v>155</v>
      </c>
      <c r="B22" s="36"/>
      <c r="C22" s="36"/>
      <c r="D22" s="36"/>
      <c r="E22" s="36"/>
      <c r="F22" s="36"/>
      <c r="G22" s="36"/>
    </row>
  </sheetData>
  <mergeCells count="2">
    <mergeCell ref="A15:G15"/>
    <mergeCell ref="A1:G1"/>
  </mergeCells>
  <hyperlinks>
    <hyperlink ref="A18" r:id="rId1" xr:uid="{00000000-0004-0000-0400-000000000000}"/>
    <hyperlink ref="A20" location="'Technical specifications'!A1" display="Technical specifications" xr:uid="{00000000-0004-0000-0400-000001000000}"/>
    <hyperlink ref="A22" location="Contents!A1" display="Back to contents" xr:uid="{00000000-0004-0000-04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4"/>
  <sheetViews>
    <sheetView workbookViewId="0">
      <selection sqref="A1:E1"/>
    </sheetView>
  </sheetViews>
  <sheetFormatPr defaultRowHeight="15" x14ac:dyDescent="0.25"/>
  <cols>
    <col min="1" max="1" width="17" customWidth="1"/>
    <col min="2" max="2" width="8.42578125" customWidth="1"/>
    <col min="3" max="4" width="25" customWidth="1"/>
    <col min="5" max="5" width="20" customWidth="1"/>
  </cols>
  <sheetData>
    <row r="1" spans="1:5" ht="33.75" customHeight="1" x14ac:dyDescent="0.25">
      <c r="A1" s="73" t="s">
        <v>5</v>
      </c>
      <c r="B1" s="74"/>
      <c r="C1" s="74"/>
      <c r="D1" s="74"/>
      <c r="E1" s="74"/>
    </row>
    <row r="2" spans="1:5" x14ac:dyDescent="0.25">
      <c r="A2" s="37" t="s">
        <v>125</v>
      </c>
      <c r="B2" s="37" t="s">
        <v>178</v>
      </c>
      <c r="C2" s="38" t="s">
        <v>161</v>
      </c>
      <c r="D2" s="38" t="s">
        <v>165</v>
      </c>
      <c r="E2" s="38" t="s">
        <v>151</v>
      </c>
    </row>
    <row r="3" spans="1:5" x14ac:dyDescent="0.25">
      <c r="A3" s="39" t="s">
        <v>130</v>
      </c>
      <c r="B3" s="39" t="s">
        <v>127</v>
      </c>
      <c r="C3" s="40">
        <v>22630</v>
      </c>
      <c r="D3" s="40">
        <v>206423</v>
      </c>
      <c r="E3" s="40">
        <v>232842</v>
      </c>
    </row>
    <row r="4" spans="1:5" x14ac:dyDescent="0.25">
      <c r="A4" s="39" t="s">
        <v>130</v>
      </c>
      <c r="B4" s="39" t="s">
        <v>128</v>
      </c>
      <c r="C4" s="40">
        <v>17174</v>
      </c>
      <c r="D4" s="40">
        <v>153729</v>
      </c>
      <c r="E4" s="40">
        <v>173653</v>
      </c>
    </row>
    <row r="5" spans="1:5" x14ac:dyDescent="0.25">
      <c r="A5" s="39" t="s">
        <v>130</v>
      </c>
      <c r="B5" s="39" t="s">
        <v>129</v>
      </c>
      <c r="C5" s="40">
        <v>39814</v>
      </c>
      <c r="D5" s="40">
        <v>360236</v>
      </c>
      <c r="E5" s="40">
        <v>406915</v>
      </c>
    </row>
    <row r="6" spans="1:5" x14ac:dyDescent="0.25">
      <c r="A6" s="39" t="s">
        <v>132</v>
      </c>
      <c r="B6" s="39" t="s">
        <v>127</v>
      </c>
      <c r="C6" s="40">
        <v>8609</v>
      </c>
      <c r="D6" s="40">
        <v>88475</v>
      </c>
      <c r="E6" s="40">
        <v>98833</v>
      </c>
    </row>
    <row r="7" spans="1:5" x14ac:dyDescent="0.25">
      <c r="A7" s="39" t="s">
        <v>132</v>
      </c>
      <c r="B7" s="39" t="s">
        <v>128</v>
      </c>
      <c r="C7" s="40">
        <v>6795</v>
      </c>
      <c r="D7" s="40">
        <v>67720</v>
      </c>
      <c r="E7" s="40">
        <v>76012</v>
      </c>
    </row>
    <row r="8" spans="1:5" x14ac:dyDescent="0.25">
      <c r="A8" s="39" t="s">
        <v>132</v>
      </c>
      <c r="B8" s="39" t="s">
        <v>129</v>
      </c>
      <c r="C8" s="40">
        <v>15407</v>
      </c>
      <c r="D8" s="40">
        <v>156203</v>
      </c>
      <c r="E8" s="40">
        <v>174869</v>
      </c>
    </row>
    <row r="9" spans="1:5" x14ac:dyDescent="0.25">
      <c r="A9" s="39" t="s">
        <v>133</v>
      </c>
      <c r="B9" s="39" t="s">
        <v>127</v>
      </c>
      <c r="C9" s="40">
        <v>6509</v>
      </c>
      <c r="D9" s="40">
        <v>74111</v>
      </c>
      <c r="E9" s="40">
        <v>81904</v>
      </c>
    </row>
    <row r="10" spans="1:5" x14ac:dyDescent="0.25">
      <c r="A10" s="39" t="s">
        <v>133</v>
      </c>
      <c r="B10" s="39" t="s">
        <v>128</v>
      </c>
      <c r="C10" s="40">
        <v>5674</v>
      </c>
      <c r="D10" s="40">
        <v>61697</v>
      </c>
      <c r="E10" s="40">
        <v>68485</v>
      </c>
    </row>
    <row r="11" spans="1:5" x14ac:dyDescent="0.25">
      <c r="A11" s="39" t="s">
        <v>133</v>
      </c>
      <c r="B11" s="39" t="s">
        <v>129</v>
      </c>
      <c r="C11" s="40">
        <v>12183</v>
      </c>
      <c r="D11" s="40">
        <v>135845</v>
      </c>
      <c r="E11" s="40">
        <v>150456</v>
      </c>
    </row>
    <row r="12" spans="1:5" x14ac:dyDescent="0.25">
      <c r="A12" s="39" t="s">
        <v>134</v>
      </c>
      <c r="B12" s="39" t="s">
        <v>127</v>
      </c>
      <c r="C12" s="40">
        <v>8601</v>
      </c>
      <c r="D12" s="40">
        <v>101736</v>
      </c>
      <c r="E12" s="40">
        <v>112318</v>
      </c>
    </row>
    <row r="13" spans="1:5" x14ac:dyDescent="0.25">
      <c r="A13" s="39" t="s">
        <v>134</v>
      </c>
      <c r="B13" s="39" t="s">
        <v>128</v>
      </c>
      <c r="C13" s="40">
        <v>15628</v>
      </c>
      <c r="D13" s="40">
        <v>126370</v>
      </c>
      <c r="E13" s="40">
        <v>144448</v>
      </c>
    </row>
    <row r="14" spans="1:5" x14ac:dyDescent="0.25">
      <c r="A14" s="39" t="s">
        <v>134</v>
      </c>
      <c r="B14" s="39" t="s">
        <v>129</v>
      </c>
      <c r="C14" s="40">
        <v>24238</v>
      </c>
      <c r="D14" s="40">
        <v>228328</v>
      </c>
      <c r="E14" s="40">
        <v>257040</v>
      </c>
    </row>
    <row r="15" spans="1:5" x14ac:dyDescent="0.25">
      <c r="A15" s="39" t="s">
        <v>135</v>
      </c>
      <c r="B15" s="39" t="s">
        <v>127</v>
      </c>
      <c r="C15" s="40">
        <v>9813</v>
      </c>
      <c r="D15" s="40">
        <v>112168</v>
      </c>
      <c r="E15" s="40">
        <v>124714</v>
      </c>
    </row>
    <row r="16" spans="1:5" x14ac:dyDescent="0.25">
      <c r="A16" s="39" t="s">
        <v>135</v>
      </c>
      <c r="B16" s="39" t="s">
        <v>128</v>
      </c>
      <c r="C16" s="40">
        <v>24756</v>
      </c>
      <c r="D16" s="40">
        <v>202760</v>
      </c>
      <c r="E16" s="40">
        <v>231053</v>
      </c>
    </row>
    <row r="17" spans="1:5" x14ac:dyDescent="0.25">
      <c r="A17" s="39" t="s">
        <v>135</v>
      </c>
      <c r="B17" s="39" t="s">
        <v>129</v>
      </c>
      <c r="C17" s="40">
        <v>34598</v>
      </c>
      <c r="D17" s="40">
        <v>315266</v>
      </c>
      <c r="E17" s="40">
        <v>356190</v>
      </c>
    </row>
    <row r="18" spans="1:5" x14ac:dyDescent="0.25">
      <c r="A18" s="39" t="s">
        <v>136</v>
      </c>
      <c r="B18" s="39" t="s">
        <v>127</v>
      </c>
      <c r="C18" s="40">
        <v>11882</v>
      </c>
      <c r="D18" s="40">
        <v>127147</v>
      </c>
      <c r="E18" s="40">
        <v>142101</v>
      </c>
    </row>
    <row r="19" spans="1:5" x14ac:dyDescent="0.25">
      <c r="A19" s="39" t="s">
        <v>136</v>
      </c>
      <c r="B19" s="39" t="s">
        <v>128</v>
      </c>
      <c r="C19" s="40">
        <v>30026</v>
      </c>
      <c r="D19" s="40">
        <v>304101</v>
      </c>
      <c r="E19" s="40">
        <v>338717</v>
      </c>
    </row>
    <row r="20" spans="1:5" x14ac:dyDescent="0.25">
      <c r="A20" s="39" t="s">
        <v>136</v>
      </c>
      <c r="B20" s="39" t="s">
        <v>129</v>
      </c>
      <c r="C20" s="40">
        <v>41927</v>
      </c>
      <c r="D20" s="40">
        <v>431574</v>
      </c>
      <c r="E20" s="40">
        <v>481272</v>
      </c>
    </row>
    <row r="21" spans="1:5" x14ac:dyDescent="0.25">
      <c r="A21" s="39" t="s">
        <v>137</v>
      </c>
      <c r="B21" s="39" t="s">
        <v>127</v>
      </c>
      <c r="C21" s="40">
        <v>15887</v>
      </c>
      <c r="D21" s="40">
        <v>155586</v>
      </c>
      <c r="E21" s="40">
        <v>175363</v>
      </c>
    </row>
    <row r="22" spans="1:5" x14ac:dyDescent="0.25">
      <c r="A22" s="39" t="s">
        <v>137</v>
      </c>
      <c r="B22" s="39" t="s">
        <v>128</v>
      </c>
      <c r="C22" s="40">
        <v>29131</v>
      </c>
      <c r="D22" s="40">
        <v>414597</v>
      </c>
      <c r="E22" s="40">
        <v>450728</v>
      </c>
    </row>
    <row r="23" spans="1:5" x14ac:dyDescent="0.25">
      <c r="A23" s="39" t="s">
        <v>137</v>
      </c>
      <c r="B23" s="39" t="s">
        <v>129</v>
      </c>
      <c r="C23" s="40">
        <v>45035</v>
      </c>
      <c r="D23" s="40">
        <v>570416</v>
      </c>
      <c r="E23" s="40">
        <v>626551</v>
      </c>
    </row>
    <row r="24" spans="1:5" x14ac:dyDescent="0.25">
      <c r="A24" s="39" t="s">
        <v>138</v>
      </c>
      <c r="B24" s="39" t="s">
        <v>127</v>
      </c>
      <c r="C24" s="40">
        <v>18214</v>
      </c>
      <c r="D24" s="40">
        <v>186852</v>
      </c>
      <c r="E24" s="40">
        <v>210290</v>
      </c>
    </row>
    <row r="25" spans="1:5" x14ac:dyDescent="0.25">
      <c r="A25" s="39" t="s">
        <v>138</v>
      </c>
      <c r="B25" s="39" t="s">
        <v>128</v>
      </c>
      <c r="C25" s="40">
        <v>27369</v>
      </c>
      <c r="D25" s="40">
        <v>394487</v>
      </c>
      <c r="E25" s="40">
        <v>430444</v>
      </c>
    </row>
    <row r="26" spans="1:5" x14ac:dyDescent="0.25">
      <c r="A26" s="39" t="s">
        <v>138</v>
      </c>
      <c r="B26" s="39" t="s">
        <v>129</v>
      </c>
      <c r="C26" s="40">
        <v>45586</v>
      </c>
      <c r="D26" s="40">
        <v>581519</v>
      </c>
      <c r="E26" s="40">
        <v>641110</v>
      </c>
    </row>
    <row r="27" spans="1:5" x14ac:dyDescent="0.25">
      <c r="A27" s="39" t="s">
        <v>139</v>
      </c>
      <c r="B27" s="39" t="s">
        <v>127</v>
      </c>
      <c r="C27" s="40">
        <v>19013</v>
      </c>
      <c r="D27" s="40">
        <v>218357</v>
      </c>
      <c r="E27" s="40">
        <v>243006</v>
      </c>
    </row>
    <row r="28" spans="1:5" x14ac:dyDescent="0.25">
      <c r="A28" s="39" t="s">
        <v>139</v>
      </c>
      <c r="B28" s="39" t="s">
        <v>128</v>
      </c>
      <c r="C28" s="40">
        <v>26762</v>
      </c>
      <c r="D28" s="40">
        <v>318645</v>
      </c>
      <c r="E28" s="40">
        <v>353199</v>
      </c>
    </row>
    <row r="29" spans="1:5" x14ac:dyDescent="0.25">
      <c r="A29" s="39" t="s">
        <v>139</v>
      </c>
      <c r="B29" s="39" t="s">
        <v>129</v>
      </c>
      <c r="C29" s="40">
        <v>45792</v>
      </c>
      <c r="D29" s="40">
        <v>537334</v>
      </c>
      <c r="E29" s="40">
        <v>596870</v>
      </c>
    </row>
    <row r="30" spans="1:5" x14ac:dyDescent="0.25">
      <c r="A30" s="39" t="s">
        <v>140</v>
      </c>
      <c r="B30" s="39" t="s">
        <v>127</v>
      </c>
      <c r="C30" s="40">
        <v>22898</v>
      </c>
      <c r="D30" s="40">
        <v>245045</v>
      </c>
      <c r="E30" s="40">
        <v>274497</v>
      </c>
    </row>
    <row r="31" spans="1:5" x14ac:dyDescent="0.25">
      <c r="A31" s="39" t="s">
        <v>140</v>
      </c>
      <c r="B31" s="39" t="s">
        <v>128</v>
      </c>
      <c r="C31" s="40">
        <v>27985</v>
      </c>
      <c r="D31" s="40">
        <v>296892</v>
      </c>
      <c r="E31" s="40">
        <v>333063</v>
      </c>
    </row>
    <row r="32" spans="1:5" x14ac:dyDescent="0.25">
      <c r="A32" s="39" t="s">
        <v>140</v>
      </c>
      <c r="B32" s="39" t="s">
        <v>129</v>
      </c>
      <c r="C32" s="40">
        <v>50896</v>
      </c>
      <c r="D32" s="40">
        <v>542333</v>
      </c>
      <c r="E32" s="40">
        <v>608385</v>
      </c>
    </row>
    <row r="33" spans="1:5" x14ac:dyDescent="0.25">
      <c r="A33" s="39" t="s">
        <v>141</v>
      </c>
      <c r="B33" s="39" t="s">
        <v>127</v>
      </c>
      <c r="C33" s="40">
        <v>33669</v>
      </c>
      <c r="D33" s="40">
        <v>338346</v>
      </c>
      <c r="E33" s="40">
        <v>382499</v>
      </c>
    </row>
    <row r="34" spans="1:5" x14ac:dyDescent="0.25">
      <c r="A34" s="39" t="s">
        <v>141</v>
      </c>
      <c r="B34" s="39" t="s">
        <v>128</v>
      </c>
      <c r="C34" s="40">
        <v>38915</v>
      </c>
      <c r="D34" s="40">
        <v>364092</v>
      </c>
      <c r="E34" s="40">
        <v>412871</v>
      </c>
    </row>
    <row r="35" spans="1:5" x14ac:dyDescent="0.25">
      <c r="A35" s="39" t="s">
        <v>141</v>
      </c>
      <c r="B35" s="39" t="s">
        <v>129</v>
      </c>
      <c r="C35" s="40">
        <v>72587</v>
      </c>
      <c r="D35" s="40">
        <v>702930</v>
      </c>
      <c r="E35" s="40">
        <v>796182</v>
      </c>
    </row>
    <row r="36" spans="1:5" x14ac:dyDescent="0.25">
      <c r="A36" s="39" t="s">
        <v>142</v>
      </c>
      <c r="B36" s="39" t="s">
        <v>127</v>
      </c>
      <c r="C36" s="40">
        <v>35138</v>
      </c>
      <c r="D36" s="40">
        <v>399784</v>
      </c>
      <c r="E36" s="40">
        <v>446662</v>
      </c>
    </row>
    <row r="37" spans="1:5" x14ac:dyDescent="0.25">
      <c r="A37" s="39" t="s">
        <v>142</v>
      </c>
      <c r="B37" s="39" t="s">
        <v>128</v>
      </c>
      <c r="C37" s="40">
        <v>40413</v>
      </c>
      <c r="D37" s="40">
        <v>382935</v>
      </c>
      <c r="E37" s="40">
        <v>432971</v>
      </c>
    </row>
    <row r="38" spans="1:5" x14ac:dyDescent="0.25">
      <c r="A38" s="39" t="s">
        <v>142</v>
      </c>
      <c r="B38" s="39" t="s">
        <v>129</v>
      </c>
      <c r="C38" s="40">
        <v>75552</v>
      </c>
      <c r="D38" s="40">
        <v>783272</v>
      </c>
      <c r="E38" s="40">
        <v>880740</v>
      </c>
    </row>
    <row r="39" spans="1:5" x14ac:dyDescent="0.25">
      <c r="A39" s="39" t="s">
        <v>143</v>
      </c>
      <c r="B39" s="39" t="s">
        <v>127</v>
      </c>
      <c r="C39" s="40">
        <v>32017</v>
      </c>
      <c r="D39" s="40">
        <v>517907</v>
      </c>
      <c r="E39" s="40">
        <v>564784</v>
      </c>
    </row>
    <row r="40" spans="1:5" x14ac:dyDescent="0.25">
      <c r="A40" s="39" t="s">
        <v>143</v>
      </c>
      <c r="B40" s="39" t="s">
        <v>128</v>
      </c>
      <c r="C40" s="40">
        <v>40678</v>
      </c>
      <c r="D40" s="40">
        <v>464377</v>
      </c>
      <c r="E40" s="40">
        <v>518926</v>
      </c>
    </row>
    <row r="41" spans="1:5" x14ac:dyDescent="0.25">
      <c r="A41" s="39" t="s">
        <v>143</v>
      </c>
      <c r="B41" s="39" t="s">
        <v>129</v>
      </c>
      <c r="C41" s="40">
        <v>72696</v>
      </c>
      <c r="D41" s="40">
        <v>982716</v>
      </c>
      <c r="E41" s="40">
        <v>1084861</v>
      </c>
    </row>
    <row r="42" spans="1:5" x14ac:dyDescent="0.25">
      <c r="A42" s="39" t="s">
        <v>179</v>
      </c>
      <c r="B42" s="39" t="s">
        <v>127</v>
      </c>
      <c r="C42" s="40">
        <v>58265</v>
      </c>
      <c r="D42" s="40">
        <v>2871641</v>
      </c>
      <c r="E42" s="40">
        <v>3009763</v>
      </c>
    </row>
    <row r="43" spans="1:5" x14ac:dyDescent="0.25">
      <c r="A43" s="39" t="s">
        <v>179</v>
      </c>
      <c r="B43" s="39" t="s">
        <v>128</v>
      </c>
      <c r="C43" s="40">
        <v>81140</v>
      </c>
      <c r="D43" s="40">
        <v>2548640</v>
      </c>
      <c r="E43" s="40">
        <v>2697843</v>
      </c>
    </row>
    <row r="44" spans="1:5" x14ac:dyDescent="0.25">
      <c r="A44" s="39" t="s">
        <v>179</v>
      </c>
      <c r="B44" s="39" t="s">
        <v>129</v>
      </c>
      <c r="C44" s="40">
        <v>139407</v>
      </c>
      <c r="D44" s="40">
        <v>5424411</v>
      </c>
      <c r="E44" s="40">
        <v>5714998</v>
      </c>
    </row>
    <row r="45" spans="1:5" x14ac:dyDescent="0.25">
      <c r="A45" s="41" t="s">
        <v>151</v>
      </c>
      <c r="B45" s="41" t="s">
        <v>127</v>
      </c>
      <c r="C45" s="42">
        <v>303145</v>
      </c>
      <c r="D45" s="42">
        <v>5643578</v>
      </c>
      <c r="E45" s="42">
        <v>6099597</v>
      </c>
    </row>
    <row r="46" spans="1:5" x14ac:dyDescent="0.25">
      <c r="A46" s="41" t="s">
        <v>151</v>
      </c>
      <c r="B46" s="41" t="s">
        <v>128</v>
      </c>
      <c r="C46" s="42">
        <v>412446</v>
      </c>
      <c r="D46" s="42">
        <v>6101043</v>
      </c>
      <c r="E46" s="42">
        <v>6662421</v>
      </c>
    </row>
    <row r="47" spans="1:5" x14ac:dyDescent="0.25">
      <c r="A47" s="43" t="s">
        <v>151</v>
      </c>
      <c r="B47" s="43" t="s">
        <v>129</v>
      </c>
      <c r="C47" s="44">
        <v>715718</v>
      </c>
      <c r="D47" s="44">
        <v>11752385</v>
      </c>
      <c r="E47" s="44">
        <v>12776704</v>
      </c>
    </row>
    <row r="48" spans="1:5" x14ac:dyDescent="0.25">
      <c r="A48" s="45"/>
      <c r="B48" s="36"/>
      <c r="C48" s="36"/>
      <c r="D48" s="36"/>
      <c r="E48" s="36"/>
    </row>
    <row r="49" spans="1:5" x14ac:dyDescent="0.25">
      <c r="A49" s="36" t="s">
        <v>153</v>
      </c>
      <c r="B49" s="36"/>
      <c r="C49" s="36"/>
      <c r="D49" s="36"/>
      <c r="E49" s="36"/>
    </row>
    <row r="50" spans="1:5" x14ac:dyDescent="0.25">
      <c r="A50" s="46" t="s">
        <v>123</v>
      </c>
      <c r="B50" s="36"/>
      <c r="C50" s="36"/>
      <c r="D50" s="36"/>
      <c r="E50" s="36"/>
    </row>
    <row r="51" spans="1:5" x14ac:dyDescent="0.25">
      <c r="A51" s="36"/>
      <c r="B51" s="36"/>
      <c r="C51" s="36"/>
      <c r="D51" s="36"/>
      <c r="E51" s="36"/>
    </row>
    <row r="52" spans="1:5" x14ac:dyDescent="0.25">
      <c r="A52" s="46" t="s">
        <v>154</v>
      </c>
      <c r="B52" s="36"/>
      <c r="C52" s="36"/>
      <c r="D52" s="36"/>
      <c r="E52" s="36"/>
    </row>
    <row r="53" spans="1:5" x14ac:dyDescent="0.25">
      <c r="A53" s="36"/>
      <c r="B53" s="36"/>
      <c r="C53" s="36"/>
      <c r="D53" s="36"/>
      <c r="E53" s="36"/>
    </row>
    <row r="54" spans="1:5" x14ac:dyDescent="0.25">
      <c r="A54" s="46" t="s">
        <v>155</v>
      </c>
      <c r="B54" s="36"/>
      <c r="C54" s="36"/>
      <c r="D54" s="36"/>
      <c r="E54" s="36"/>
    </row>
  </sheetData>
  <mergeCells count="1">
    <mergeCell ref="A1:E1"/>
  </mergeCells>
  <hyperlinks>
    <hyperlink ref="A50" r:id="rId1" xr:uid="{00000000-0004-0000-0500-000000000000}"/>
    <hyperlink ref="A52" location="'Technical specifications'!A1" display="Technical specifications" xr:uid="{00000000-0004-0000-0500-000001000000}"/>
    <hyperlink ref="A54" location="Contents!A1" display="Back to contents" xr:uid="{00000000-0004-0000-05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activeCell="A12" sqref="A12:H12"/>
    </sheetView>
  </sheetViews>
  <sheetFormatPr defaultRowHeight="15" x14ac:dyDescent="0.25"/>
  <cols>
    <col min="1" max="1" width="17" customWidth="1"/>
    <col min="2" max="2" width="32" customWidth="1"/>
    <col min="3" max="8" width="16.5703125" customWidth="1"/>
  </cols>
  <sheetData>
    <row r="1" spans="1:8" ht="33.75" customHeight="1" x14ac:dyDescent="0.25">
      <c r="A1" s="73" t="s">
        <v>6</v>
      </c>
      <c r="B1" s="74"/>
      <c r="C1" s="74"/>
      <c r="D1" s="74"/>
      <c r="E1" s="74"/>
      <c r="F1" s="74"/>
      <c r="G1" s="74"/>
      <c r="H1" s="74"/>
    </row>
    <row r="2" spans="1:8" x14ac:dyDescent="0.25">
      <c r="A2" s="37" t="s">
        <v>180</v>
      </c>
      <c r="B2" s="37" t="s">
        <v>126</v>
      </c>
      <c r="C2" s="38" t="s">
        <v>181</v>
      </c>
      <c r="D2" s="38" t="s">
        <v>182</v>
      </c>
      <c r="E2" s="38" t="s">
        <v>183</v>
      </c>
      <c r="F2" s="38" t="s">
        <v>184</v>
      </c>
      <c r="G2" s="38" t="s">
        <v>185</v>
      </c>
      <c r="H2" s="38" t="s">
        <v>151</v>
      </c>
    </row>
    <row r="3" spans="1:8" x14ac:dyDescent="0.25">
      <c r="A3" s="39" t="s">
        <v>158</v>
      </c>
      <c r="B3" s="39" t="s">
        <v>131</v>
      </c>
      <c r="C3" s="40">
        <v>4860257</v>
      </c>
      <c r="D3" s="40">
        <v>1579139</v>
      </c>
      <c r="E3" s="40">
        <v>811457</v>
      </c>
      <c r="F3" s="40">
        <v>147076</v>
      </c>
      <c r="G3" s="40">
        <v>130629</v>
      </c>
      <c r="H3" s="40">
        <v>7651552</v>
      </c>
    </row>
    <row r="4" spans="1:8" x14ac:dyDescent="0.25">
      <c r="A4" s="39" t="s">
        <v>158</v>
      </c>
      <c r="B4" s="39" t="s">
        <v>176</v>
      </c>
      <c r="C4" s="49">
        <v>227.22389853999999</v>
      </c>
      <c r="D4" s="49">
        <v>277.58565113999998</v>
      </c>
      <c r="E4" s="49">
        <v>320.62298572999998</v>
      </c>
      <c r="F4" s="49">
        <v>449.57803889000002</v>
      </c>
      <c r="G4" s="49">
        <v>678.26627095000003</v>
      </c>
      <c r="H4" s="49">
        <v>252.68861380999999</v>
      </c>
    </row>
    <row r="5" spans="1:8" x14ac:dyDescent="0.25">
      <c r="A5" s="39" t="s">
        <v>158</v>
      </c>
      <c r="B5" s="39" t="s">
        <v>186</v>
      </c>
      <c r="C5" s="49">
        <f>C4/$H4</f>
        <v>0.8992249200070912</v>
      </c>
      <c r="D5" s="49">
        <f t="shared" ref="D5:G5" si="0">D4/$H4</f>
        <v>1.0985285286685709</v>
      </c>
      <c r="E5" s="49">
        <f t="shared" si="0"/>
        <v>1.268846193327416</v>
      </c>
      <c r="F5" s="49">
        <f t="shared" si="0"/>
        <v>1.7791780646992028</v>
      </c>
      <c r="G5" s="49">
        <f t="shared" si="0"/>
        <v>2.6841979965903713</v>
      </c>
      <c r="H5" s="49" t="s">
        <v>223</v>
      </c>
    </row>
    <row r="6" spans="1:8" x14ac:dyDescent="0.25">
      <c r="A6" s="39" t="s">
        <v>159</v>
      </c>
      <c r="B6" s="39" t="s">
        <v>131</v>
      </c>
      <c r="C6" s="40">
        <v>3871092</v>
      </c>
      <c r="D6" s="40">
        <v>881486</v>
      </c>
      <c r="E6" s="40">
        <v>297580</v>
      </c>
      <c r="F6" s="40">
        <v>29395</v>
      </c>
      <c r="G6" s="40">
        <v>31901</v>
      </c>
      <c r="H6" s="40">
        <v>5125152</v>
      </c>
    </row>
    <row r="7" spans="1:8" x14ac:dyDescent="0.25">
      <c r="A7" s="39" t="s">
        <v>159</v>
      </c>
      <c r="B7" s="39" t="s">
        <v>176</v>
      </c>
      <c r="C7" s="49">
        <v>177.16493603000001</v>
      </c>
      <c r="D7" s="49">
        <v>141.35405940999999</v>
      </c>
      <c r="E7" s="49">
        <v>111.80443185</v>
      </c>
      <c r="F7" s="49">
        <v>87.864593876000001</v>
      </c>
      <c r="G7" s="49">
        <v>162.45613607999999</v>
      </c>
      <c r="H7" s="49">
        <v>163.40144355999999</v>
      </c>
    </row>
    <row r="8" spans="1:8" x14ac:dyDescent="0.25">
      <c r="A8" s="39" t="s">
        <v>159</v>
      </c>
      <c r="B8" s="39" t="s">
        <v>186</v>
      </c>
      <c r="C8" s="49">
        <f>C7/$H7</f>
        <v>1.0842311559196609</v>
      </c>
      <c r="D8" s="49">
        <f t="shared" ref="D8:G8" si="1">D7/$H7</f>
        <v>0.86507228045446039</v>
      </c>
      <c r="E8" s="49">
        <f t="shared" si="1"/>
        <v>0.68423160416539475</v>
      </c>
      <c r="F8" s="49">
        <f t="shared" si="1"/>
        <v>0.53772226218880781</v>
      </c>
      <c r="G8" s="49">
        <f t="shared" si="1"/>
        <v>0.99421481561359104</v>
      </c>
      <c r="H8" s="49" t="s">
        <v>223</v>
      </c>
    </row>
    <row r="9" spans="1:8" x14ac:dyDescent="0.25">
      <c r="A9" s="41" t="s">
        <v>160</v>
      </c>
      <c r="B9" s="41" t="s">
        <v>131</v>
      </c>
      <c r="C9" s="42">
        <v>8731349</v>
      </c>
      <c r="D9" s="42">
        <v>2460625</v>
      </c>
      <c r="E9" s="42">
        <v>1109037</v>
      </c>
      <c r="F9" s="42">
        <v>176471</v>
      </c>
      <c r="G9" s="42">
        <v>162530</v>
      </c>
      <c r="H9" s="42">
        <v>12776704</v>
      </c>
    </row>
    <row r="10" spans="1:8" x14ac:dyDescent="0.25">
      <c r="A10" s="41" t="s">
        <v>160</v>
      </c>
      <c r="B10" s="41" t="s">
        <v>176</v>
      </c>
      <c r="C10" s="51">
        <v>404.38883456999997</v>
      </c>
      <c r="D10" s="51">
        <v>418.93971054999997</v>
      </c>
      <c r="E10" s="51">
        <v>432.42741756999999</v>
      </c>
      <c r="F10" s="51">
        <v>537.44263277000005</v>
      </c>
      <c r="G10" s="51">
        <v>840.72240703</v>
      </c>
      <c r="H10" s="51">
        <v>416.09005737000001</v>
      </c>
    </row>
    <row r="11" spans="1:8" ht="15.75" thickBot="1" x14ac:dyDescent="0.3">
      <c r="A11" s="43" t="s">
        <v>160</v>
      </c>
      <c r="B11" s="43" t="s">
        <v>186</v>
      </c>
      <c r="C11" s="62">
        <f>C10/$H10</f>
        <v>0.97187814850957865</v>
      </c>
      <c r="D11" s="62">
        <f t="shared" ref="D11:G11" si="2">D10/$H10</f>
        <v>1.0068486452139997</v>
      </c>
      <c r="E11" s="62">
        <f t="shared" si="2"/>
        <v>1.0392640004504416</v>
      </c>
      <c r="F11" s="62">
        <f t="shared" si="2"/>
        <v>1.2916497841045254</v>
      </c>
      <c r="G11" s="62">
        <f t="shared" si="2"/>
        <v>2.020529912067579</v>
      </c>
      <c r="H11" s="62" t="s">
        <v>223</v>
      </c>
    </row>
    <row r="12" spans="1:8" x14ac:dyDescent="0.25">
      <c r="A12" s="75" t="s">
        <v>188</v>
      </c>
      <c r="B12" s="76"/>
      <c r="C12" s="76"/>
      <c r="D12" s="76"/>
      <c r="E12" s="76"/>
      <c r="F12" s="76"/>
      <c r="G12" s="76"/>
      <c r="H12" s="76"/>
    </row>
    <row r="13" spans="1:8" x14ac:dyDescent="0.25">
      <c r="A13" s="45"/>
      <c r="B13" s="36"/>
      <c r="C13" s="36"/>
      <c r="D13" s="36"/>
      <c r="E13" s="36"/>
      <c r="F13" s="36"/>
      <c r="G13" s="36"/>
      <c r="H13" s="36"/>
    </row>
    <row r="14" spans="1:8" x14ac:dyDescent="0.25">
      <c r="A14" s="36" t="s">
        <v>153</v>
      </c>
      <c r="B14" s="36"/>
      <c r="C14" s="36"/>
      <c r="D14" s="36"/>
      <c r="E14" s="36"/>
      <c r="F14" s="36"/>
      <c r="G14" s="36"/>
      <c r="H14" s="36"/>
    </row>
    <row r="15" spans="1:8" x14ac:dyDescent="0.25">
      <c r="A15" s="46" t="s">
        <v>123</v>
      </c>
      <c r="B15" s="36"/>
      <c r="C15" s="36"/>
      <c r="D15" s="36"/>
      <c r="E15" s="36"/>
      <c r="F15" s="36"/>
      <c r="G15" s="36"/>
      <c r="H15" s="36"/>
    </row>
    <row r="16" spans="1:8" x14ac:dyDescent="0.25">
      <c r="A16" s="36"/>
      <c r="B16" s="36"/>
      <c r="C16" s="36"/>
      <c r="D16" s="36"/>
      <c r="E16" s="36"/>
      <c r="F16" s="36"/>
      <c r="G16" s="36"/>
      <c r="H16" s="36"/>
    </row>
    <row r="17" spans="1:8" x14ac:dyDescent="0.25">
      <c r="A17" s="46" t="s">
        <v>154</v>
      </c>
      <c r="B17" s="36"/>
      <c r="C17" s="36"/>
      <c r="D17" s="36"/>
      <c r="E17" s="36"/>
      <c r="F17" s="36"/>
      <c r="G17" s="36"/>
      <c r="H17" s="36"/>
    </row>
    <row r="18" spans="1:8" x14ac:dyDescent="0.25">
      <c r="A18" s="36"/>
      <c r="B18" s="36"/>
      <c r="C18" s="36"/>
      <c r="D18" s="36"/>
      <c r="E18" s="36"/>
      <c r="F18" s="36"/>
      <c r="G18" s="36"/>
      <c r="H18" s="36"/>
    </row>
    <row r="19" spans="1:8" x14ac:dyDescent="0.25">
      <c r="A19" s="46" t="s">
        <v>155</v>
      </c>
      <c r="B19" s="36"/>
      <c r="C19" s="36"/>
      <c r="D19" s="36"/>
      <c r="E19" s="36"/>
      <c r="F19" s="36"/>
      <c r="G19" s="36"/>
      <c r="H19" s="36"/>
    </row>
  </sheetData>
  <mergeCells count="2">
    <mergeCell ref="A12:H12"/>
    <mergeCell ref="A1:H1"/>
  </mergeCells>
  <hyperlinks>
    <hyperlink ref="A15" r:id="rId1" xr:uid="{00000000-0004-0000-0600-000000000000}"/>
    <hyperlink ref="A17" location="'Technical specifications'!A1" display="Technical specifications" xr:uid="{00000000-0004-0000-0600-000001000000}"/>
    <hyperlink ref="A19" location="Contents!A1" display="Back to contents" xr:uid="{00000000-0004-0000-06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activeCell="I19" sqref="I19"/>
    </sheetView>
  </sheetViews>
  <sheetFormatPr defaultRowHeight="15" x14ac:dyDescent="0.25"/>
  <cols>
    <col min="1" max="1" width="17" customWidth="1"/>
    <col min="2" max="2" width="32" customWidth="1"/>
    <col min="3" max="3" width="10" customWidth="1"/>
    <col min="4" max="6" width="8.42578125" customWidth="1"/>
    <col min="7" max="7" width="10" customWidth="1"/>
    <col min="8" max="8" width="8.42578125" customWidth="1"/>
  </cols>
  <sheetData>
    <row r="1" spans="1:8" ht="33.75" customHeight="1" x14ac:dyDescent="0.25">
      <c r="A1" s="73" t="s">
        <v>7</v>
      </c>
      <c r="B1" s="74"/>
      <c r="C1" s="74"/>
      <c r="D1" s="74"/>
      <c r="E1" s="74"/>
      <c r="F1" s="74"/>
      <c r="G1" s="74"/>
      <c r="H1" s="74"/>
    </row>
    <row r="2" spans="1:8" x14ac:dyDescent="0.25">
      <c r="A2" s="37" t="s">
        <v>180</v>
      </c>
      <c r="B2" s="37" t="s">
        <v>126</v>
      </c>
      <c r="C2" s="38" t="s">
        <v>189</v>
      </c>
      <c r="D2" s="38" t="s">
        <v>190</v>
      </c>
      <c r="E2" s="38" t="s">
        <v>191</v>
      </c>
      <c r="F2" s="38" t="s">
        <v>192</v>
      </c>
      <c r="G2" s="38" t="s">
        <v>193</v>
      </c>
      <c r="H2" s="38" t="s">
        <v>151</v>
      </c>
    </row>
    <row r="3" spans="1:8" x14ac:dyDescent="0.25">
      <c r="A3" s="39" t="s">
        <v>158</v>
      </c>
      <c r="B3" s="39" t="s">
        <v>131</v>
      </c>
      <c r="C3" s="40">
        <v>1992932</v>
      </c>
      <c r="D3" s="40">
        <v>1710501</v>
      </c>
      <c r="E3" s="40">
        <v>1574902</v>
      </c>
      <c r="F3" s="40">
        <v>1311249</v>
      </c>
      <c r="G3" s="40">
        <v>937776</v>
      </c>
      <c r="H3" s="40">
        <v>7651552</v>
      </c>
    </row>
    <row r="4" spans="1:8" x14ac:dyDescent="0.25">
      <c r="A4" s="39" t="s">
        <v>158</v>
      </c>
      <c r="B4" s="39" t="s">
        <v>176</v>
      </c>
      <c r="C4" s="49">
        <v>349.91939742</v>
      </c>
      <c r="D4" s="49">
        <v>286.56779454000002</v>
      </c>
      <c r="E4" s="49">
        <v>243.14491429</v>
      </c>
      <c r="F4" s="49">
        <v>213.2249712</v>
      </c>
      <c r="G4" s="49">
        <v>158.44420489999999</v>
      </c>
      <c r="H4" s="49">
        <v>252.67747987000001</v>
      </c>
    </row>
    <row r="5" spans="1:8" x14ac:dyDescent="0.25">
      <c r="A5" s="39" t="s">
        <v>158</v>
      </c>
      <c r="B5" s="39" t="s">
        <v>186</v>
      </c>
      <c r="C5" s="49">
        <f>C4/$H4</f>
        <v>1.384846000522207</v>
      </c>
      <c r="D5" s="49">
        <f t="shared" ref="D5:G5" si="0">D4/$H4</f>
        <v>1.1341247929472631</v>
      </c>
      <c r="E5" s="49">
        <f t="shared" si="0"/>
        <v>0.96227378243243356</v>
      </c>
      <c r="F5" s="49">
        <f t="shared" si="0"/>
        <v>0.84386218870673424</v>
      </c>
      <c r="G5" s="49">
        <f t="shared" si="0"/>
        <v>0.6270610462852404</v>
      </c>
      <c r="H5" s="63" t="s">
        <v>223</v>
      </c>
    </row>
    <row r="6" spans="1:8" x14ac:dyDescent="0.25">
      <c r="A6" s="39" t="s">
        <v>159</v>
      </c>
      <c r="B6" s="39" t="s">
        <v>131</v>
      </c>
      <c r="C6" s="40">
        <v>663801</v>
      </c>
      <c r="D6" s="40">
        <v>823821</v>
      </c>
      <c r="E6" s="40">
        <v>1076196</v>
      </c>
      <c r="F6" s="40">
        <v>1160475</v>
      </c>
      <c r="G6" s="40">
        <v>1386964</v>
      </c>
      <c r="H6" s="40">
        <v>5125152</v>
      </c>
    </row>
    <row r="7" spans="1:8" x14ac:dyDescent="0.25">
      <c r="A7" s="39" t="s">
        <v>159</v>
      </c>
      <c r="B7" s="39" t="s">
        <v>176</v>
      </c>
      <c r="C7" s="49">
        <v>111.22751964</v>
      </c>
      <c r="D7" s="49">
        <v>132.25158712999999</v>
      </c>
      <c r="E7" s="49">
        <v>159.99861877000001</v>
      </c>
      <c r="F7" s="49">
        <v>184.55838932</v>
      </c>
      <c r="G7" s="49">
        <v>224.62762860000001</v>
      </c>
      <c r="H7" s="49">
        <v>163.38911723999999</v>
      </c>
    </row>
    <row r="8" spans="1:8" x14ac:dyDescent="0.25">
      <c r="A8" s="39" t="s">
        <v>159</v>
      </c>
      <c r="B8" s="39" t="s">
        <v>186</v>
      </c>
      <c r="C8" s="49">
        <f>C7/$H7</f>
        <v>0.68075231397828928</v>
      </c>
      <c r="D8" s="49">
        <f t="shared" ref="D8:G8" si="1">D7/$H7</f>
        <v>0.80942714768289914</v>
      </c>
      <c r="E8" s="49">
        <f t="shared" si="1"/>
        <v>0.97924893329939644</v>
      </c>
      <c r="F8" s="49">
        <f t="shared" si="1"/>
        <v>1.1295635378756883</v>
      </c>
      <c r="G8" s="49">
        <f t="shared" si="1"/>
        <v>1.3748016538338206</v>
      </c>
      <c r="H8" s="63" t="s">
        <v>223</v>
      </c>
    </row>
    <row r="9" spans="1:8" x14ac:dyDescent="0.25">
      <c r="A9" s="41" t="s">
        <v>160</v>
      </c>
      <c r="B9" s="41" t="s">
        <v>131</v>
      </c>
      <c r="C9" s="42">
        <v>2656733</v>
      </c>
      <c r="D9" s="42">
        <v>2534322</v>
      </c>
      <c r="E9" s="42">
        <v>2651098</v>
      </c>
      <c r="F9" s="42">
        <v>2471724</v>
      </c>
      <c r="G9" s="42">
        <v>2324740</v>
      </c>
      <c r="H9" s="42">
        <v>12776704</v>
      </c>
    </row>
    <row r="10" spans="1:8" x14ac:dyDescent="0.25">
      <c r="A10" s="41" t="s">
        <v>160</v>
      </c>
      <c r="B10" s="41" t="s">
        <v>176</v>
      </c>
      <c r="C10" s="51">
        <v>461.14691706000002</v>
      </c>
      <c r="D10" s="51">
        <v>418.81938166999998</v>
      </c>
      <c r="E10" s="51">
        <v>403.14353305999998</v>
      </c>
      <c r="F10" s="51">
        <v>397.78336051999997</v>
      </c>
      <c r="G10" s="51">
        <v>383.07183350000003</v>
      </c>
      <c r="H10" s="51">
        <v>416.06659710999998</v>
      </c>
    </row>
    <row r="11" spans="1:8" ht="15.75" thickBot="1" x14ac:dyDescent="0.3">
      <c r="A11" s="43" t="s">
        <v>160</v>
      </c>
      <c r="B11" s="43" t="s">
        <v>186</v>
      </c>
      <c r="C11" s="62">
        <f>C10/$H10</f>
        <v>1.1083488082511985</v>
      </c>
      <c r="D11" s="62">
        <f t="shared" ref="D11:F11" si="2">D10/$H10</f>
        <v>1.0066162113928896</v>
      </c>
      <c r="E11" s="62">
        <f t="shared" si="2"/>
        <v>0.96893991457193718</v>
      </c>
      <c r="F11" s="62">
        <f t="shared" si="2"/>
        <v>0.9560569468517891</v>
      </c>
      <c r="G11" s="62">
        <f>G10/$H10</f>
        <v>0.92069835973572089</v>
      </c>
      <c r="H11" s="62" t="s">
        <v>223</v>
      </c>
    </row>
    <row r="12" spans="1:8" x14ac:dyDescent="0.25">
      <c r="A12" s="75" t="s">
        <v>194</v>
      </c>
      <c r="B12" s="76"/>
      <c r="C12" s="76"/>
      <c r="D12" s="76"/>
      <c r="E12" s="76"/>
      <c r="F12" s="76"/>
      <c r="G12" s="76"/>
      <c r="H12" s="76"/>
    </row>
    <row r="13" spans="1:8" x14ac:dyDescent="0.25">
      <c r="A13" s="45"/>
      <c r="B13" s="36"/>
      <c r="C13" s="36"/>
      <c r="D13" s="36"/>
      <c r="E13" s="36"/>
      <c r="F13" s="36"/>
      <c r="G13" s="36"/>
      <c r="H13" s="36"/>
    </row>
    <row r="14" spans="1:8" x14ac:dyDescent="0.25">
      <c r="A14" s="36" t="s">
        <v>153</v>
      </c>
      <c r="B14" s="36"/>
      <c r="C14" s="36"/>
      <c r="D14" s="36"/>
      <c r="E14" s="36"/>
      <c r="F14" s="36"/>
      <c r="G14" s="36"/>
      <c r="H14" s="36"/>
    </row>
    <row r="15" spans="1:8" x14ac:dyDescent="0.25">
      <c r="A15" s="46" t="s">
        <v>123</v>
      </c>
      <c r="B15" s="36"/>
      <c r="C15" s="36"/>
      <c r="D15" s="36"/>
      <c r="E15" s="36"/>
      <c r="F15" s="36"/>
      <c r="G15" s="36"/>
      <c r="H15" s="36"/>
    </row>
    <row r="16" spans="1:8" x14ac:dyDescent="0.25">
      <c r="A16" s="36"/>
      <c r="B16" s="36"/>
      <c r="C16" s="36"/>
      <c r="D16" s="36"/>
      <c r="E16" s="36"/>
      <c r="F16" s="36"/>
      <c r="G16" s="36"/>
      <c r="H16" s="36"/>
    </row>
    <row r="17" spans="1:8" x14ac:dyDescent="0.25">
      <c r="A17" s="46" t="s">
        <v>154</v>
      </c>
      <c r="B17" s="36"/>
      <c r="C17" s="36"/>
      <c r="D17" s="36"/>
      <c r="E17" s="36"/>
      <c r="F17" s="36"/>
      <c r="G17" s="36"/>
      <c r="H17" s="36"/>
    </row>
    <row r="18" spans="1:8" x14ac:dyDescent="0.25">
      <c r="A18" s="36"/>
      <c r="B18" s="36"/>
      <c r="C18" s="36"/>
      <c r="D18" s="36"/>
      <c r="E18" s="36"/>
      <c r="F18" s="36"/>
      <c r="G18" s="36"/>
      <c r="H18" s="36"/>
    </row>
    <row r="19" spans="1:8" x14ac:dyDescent="0.25">
      <c r="A19" s="46" t="s">
        <v>155</v>
      </c>
      <c r="B19" s="36"/>
      <c r="C19" s="36"/>
      <c r="D19" s="36"/>
      <c r="E19" s="36"/>
      <c r="F19" s="36"/>
      <c r="G19" s="36"/>
      <c r="H19" s="36"/>
    </row>
  </sheetData>
  <mergeCells count="2">
    <mergeCell ref="A12:H12"/>
    <mergeCell ref="A1:H1"/>
  </mergeCells>
  <hyperlinks>
    <hyperlink ref="A15" r:id="rId1" xr:uid="{00000000-0004-0000-0700-000000000000}"/>
    <hyperlink ref="A17" location="'Technical specifications'!A1" display="Technical specifications" xr:uid="{00000000-0004-0000-0700-000001000000}"/>
    <hyperlink ref="A19" location="Contents!A1" display="Back to contents" xr:uid="{00000000-0004-0000-0700-000002000000}"/>
  </hyperlinks>
  <pageMargins left="0.75" right="0.75" top="1" bottom="1" header="0.5" footer="0.5"/>
  <ignoredErrors>
    <ignoredError sqref="D2:F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5"/>
  <sheetViews>
    <sheetView workbookViewId="0">
      <selection sqref="A1:D1"/>
    </sheetView>
  </sheetViews>
  <sheetFormatPr defaultRowHeight="15" x14ac:dyDescent="0.25"/>
  <cols>
    <col min="1" max="1" width="17" customWidth="1"/>
    <col min="2" max="2" width="8.42578125" customWidth="1"/>
    <col min="3" max="4" width="20" customWidth="1"/>
  </cols>
  <sheetData>
    <row r="1" spans="1:4" ht="33.75" customHeight="1" x14ac:dyDescent="0.25">
      <c r="A1" s="73" t="s">
        <v>8</v>
      </c>
      <c r="B1" s="74"/>
      <c r="C1" s="74"/>
      <c r="D1" s="74"/>
    </row>
    <row r="2" spans="1:4" ht="23.25" x14ac:dyDescent="0.25">
      <c r="A2" s="37" t="s">
        <v>125</v>
      </c>
      <c r="B2" s="37" t="s">
        <v>178</v>
      </c>
      <c r="C2" s="38" t="s">
        <v>195</v>
      </c>
      <c r="D2" s="38" t="s">
        <v>196</v>
      </c>
    </row>
    <row r="3" spans="1:4" x14ac:dyDescent="0.25">
      <c r="A3" s="39" t="s">
        <v>197</v>
      </c>
      <c r="B3" s="39" t="s">
        <v>127</v>
      </c>
      <c r="C3" s="49">
        <v>6.6846818205999998</v>
      </c>
      <c r="D3" s="49">
        <v>1.6308403386999999</v>
      </c>
    </row>
    <row r="4" spans="1:4" x14ac:dyDescent="0.25">
      <c r="A4" s="39" t="s">
        <v>197</v>
      </c>
      <c r="B4" s="39" t="s">
        <v>128</v>
      </c>
      <c r="C4" s="49">
        <v>6.0318194809000003</v>
      </c>
      <c r="D4" s="49">
        <v>1.4749984757000001</v>
      </c>
    </row>
    <row r="5" spans="1:4" x14ac:dyDescent="0.25">
      <c r="A5" s="39" t="s">
        <v>197</v>
      </c>
      <c r="B5" s="39" t="s">
        <v>129</v>
      </c>
      <c r="C5" s="49">
        <v>6.3988751325999997</v>
      </c>
      <c r="D5" s="49">
        <v>1.56270497</v>
      </c>
    </row>
    <row r="6" spans="1:4" x14ac:dyDescent="0.25">
      <c r="A6" s="39" t="s">
        <v>198</v>
      </c>
      <c r="B6" s="39" t="s">
        <v>127</v>
      </c>
      <c r="C6" s="49">
        <v>20.241084425</v>
      </c>
      <c r="D6" s="49">
        <v>4.7160425960000003</v>
      </c>
    </row>
    <row r="7" spans="1:4" x14ac:dyDescent="0.25">
      <c r="A7" s="39" t="s">
        <v>198</v>
      </c>
      <c r="B7" s="39" t="s">
        <v>128</v>
      </c>
      <c r="C7" s="49">
        <v>22.698380151999999</v>
      </c>
      <c r="D7" s="49">
        <v>5.2469956196999998</v>
      </c>
    </row>
    <row r="8" spans="1:4" x14ac:dyDescent="0.25">
      <c r="A8" s="39" t="s">
        <v>198</v>
      </c>
      <c r="B8" s="39" t="s">
        <v>129</v>
      </c>
      <c r="C8" s="49">
        <v>21.261279475999999</v>
      </c>
      <c r="D8" s="49">
        <v>4.9374572565000001</v>
      </c>
    </row>
    <row r="9" spans="1:4" x14ac:dyDescent="0.25">
      <c r="A9" s="39" t="s">
        <v>199</v>
      </c>
      <c r="B9" s="39" t="s">
        <v>127</v>
      </c>
      <c r="C9" s="49">
        <v>15.250508542</v>
      </c>
      <c r="D9" s="49">
        <v>3.6121564389</v>
      </c>
    </row>
    <row r="10" spans="1:4" x14ac:dyDescent="0.25">
      <c r="A10" s="39" t="s">
        <v>199</v>
      </c>
      <c r="B10" s="39" t="s">
        <v>128</v>
      </c>
      <c r="C10" s="49">
        <v>14.811371726000001</v>
      </c>
      <c r="D10" s="49">
        <v>3.5133172436</v>
      </c>
    </row>
    <row r="11" spans="1:4" x14ac:dyDescent="0.25">
      <c r="A11" s="39" t="s">
        <v>199</v>
      </c>
      <c r="B11" s="39" t="s">
        <v>129</v>
      </c>
      <c r="C11" s="49">
        <v>15.054992092999999</v>
      </c>
      <c r="D11" s="49">
        <v>3.5681853074999998</v>
      </c>
    </row>
    <row r="12" spans="1:4" x14ac:dyDescent="0.25">
      <c r="A12" s="39" t="s">
        <v>200</v>
      </c>
      <c r="B12" s="39" t="s">
        <v>127</v>
      </c>
      <c r="C12" s="49">
        <v>-0.80765979499999996</v>
      </c>
      <c r="D12" s="49">
        <v>-0.202529391</v>
      </c>
    </row>
    <row r="13" spans="1:4" x14ac:dyDescent="0.25">
      <c r="A13" s="39" t="s">
        <v>200</v>
      </c>
      <c r="B13" s="39" t="s">
        <v>128</v>
      </c>
      <c r="C13" s="49">
        <v>-7.0394815020000001</v>
      </c>
      <c r="D13" s="49">
        <v>-1.8083327199999999</v>
      </c>
    </row>
    <row r="14" spans="1:4" x14ac:dyDescent="0.25">
      <c r="A14" s="39" t="s">
        <v>200</v>
      </c>
      <c r="B14" s="39" t="s">
        <v>129</v>
      </c>
      <c r="C14" s="49">
        <v>-4.7231442619999999</v>
      </c>
      <c r="D14" s="49">
        <v>-1.2022955120000001</v>
      </c>
    </row>
    <row r="15" spans="1:4" x14ac:dyDescent="0.25">
      <c r="A15" s="39" t="s">
        <v>201</v>
      </c>
      <c r="B15" s="39" t="s">
        <v>127</v>
      </c>
      <c r="C15" s="49">
        <v>-1.0349643369999999</v>
      </c>
      <c r="D15" s="49">
        <v>-0.259751395</v>
      </c>
    </row>
    <row r="16" spans="1:4" x14ac:dyDescent="0.25">
      <c r="A16" s="39" t="s">
        <v>201</v>
      </c>
      <c r="B16" s="39" t="s">
        <v>128</v>
      </c>
      <c r="C16" s="49">
        <v>-0.40408857399999998</v>
      </c>
      <c r="D16" s="49">
        <v>-0.101175587</v>
      </c>
    </row>
    <row r="17" spans="1:4" x14ac:dyDescent="0.25">
      <c r="A17" s="39" t="s">
        <v>201</v>
      </c>
      <c r="B17" s="39" t="s">
        <v>129</v>
      </c>
      <c r="C17" s="49">
        <v>-0.58584628400000005</v>
      </c>
      <c r="D17" s="49">
        <v>-0.14678443999999999</v>
      </c>
    </row>
    <row r="18" spans="1:4" x14ac:dyDescent="0.25">
      <c r="A18" s="39" t="s">
        <v>202</v>
      </c>
      <c r="B18" s="39" t="s">
        <v>127</v>
      </c>
      <c r="C18" s="49">
        <v>7.2658906602000002</v>
      </c>
      <c r="D18" s="49">
        <v>1.7689774366</v>
      </c>
    </row>
    <row r="19" spans="1:4" x14ac:dyDescent="0.25">
      <c r="A19" s="39" t="s">
        <v>202</v>
      </c>
      <c r="B19" s="39" t="s">
        <v>128</v>
      </c>
      <c r="C19" s="49">
        <v>8.3932372749000006</v>
      </c>
      <c r="D19" s="49">
        <v>2.0353237458</v>
      </c>
    </row>
    <row r="20" spans="1:4" x14ac:dyDescent="0.25">
      <c r="A20" s="39" t="s">
        <v>202</v>
      </c>
      <c r="B20" s="39" t="s">
        <v>129</v>
      </c>
      <c r="C20" s="49">
        <v>7.9773629178999999</v>
      </c>
      <c r="D20" s="49">
        <v>1.9373124092</v>
      </c>
    </row>
    <row r="21" spans="1:4" x14ac:dyDescent="0.25">
      <c r="A21" s="39" t="s">
        <v>203</v>
      </c>
      <c r="B21" s="39" t="s">
        <v>127</v>
      </c>
      <c r="C21" s="49">
        <v>1.4476059299999999</v>
      </c>
      <c r="D21" s="49">
        <v>0.35995331860000002</v>
      </c>
    </row>
    <row r="22" spans="1:4" x14ac:dyDescent="0.25">
      <c r="A22" s="39" t="s">
        <v>203</v>
      </c>
      <c r="B22" s="39" t="s">
        <v>128</v>
      </c>
      <c r="C22" s="49">
        <v>1.9411531576000001</v>
      </c>
      <c r="D22" s="49">
        <v>0.48179519310000002</v>
      </c>
    </row>
    <row r="23" spans="1:4" x14ac:dyDescent="0.25">
      <c r="A23" s="39" t="s">
        <v>203</v>
      </c>
      <c r="B23" s="39" t="s">
        <v>129</v>
      </c>
      <c r="C23" s="49">
        <v>1.7094271146</v>
      </c>
      <c r="D23" s="49">
        <v>0.42464427189999998</v>
      </c>
    </row>
    <row r="24" spans="1:4" x14ac:dyDescent="0.25">
      <c r="A24" s="39" t="s">
        <v>204</v>
      </c>
      <c r="B24" s="39" t="s">
        <v>127</v>
      </c>
      <c r="C24" s="49">
        <v>5.5300048829000001</v>
      </c>
      <c r="D24" s="49">
        <v>1.3547226482000001</v>
      </c>
    </row>
    <row r="25" spans="1:4" x14ac:dyDescent="0.25">
      <c r="A25" s="39" t="s">
        <v>204</v>
      </c>
      <c r="B25" s="39" t="s">
        <v>128</v>
      </c>
      <c r="C25" s="49">
        <v>5.4017603555999996</v>
      </c>
      <c r="D25" s="49">
        <v>1.3239159685999999</v>
      </c>
    </row>
    <row r="26" spans="1:4" x14ac:dyDescent="0.25">
      <c r="A26" s="39" t="s">
        <v>204</v>
      </c>
      <c r="B26" s="39" t="s">
        <v>129</v>
      </c>
      <c r="C26" s="49">
        <v>5.4677885233000003</v>
      </c>
      <c r="D26" s="49">
        <v>1.3397806502</v>
      </c>
    </row>
    <row r="27" spans="1:4" x14ac:dyDescent="0.25">
      <c r="A27" s="39" t="s">
        <v>205</v>
      </c>
      <c r="B27" s="39" t="s">
        <v>127</v>
      </c>
      <c r="C27" s="49">
        <v>4.4480321276000003</v>
      </c>
      <c r="D27" s="49">
        <v>1.0939266342</v>
      </c>
    </row>
    <row r="28" spans="1:4" x14ac:dyDescent="0.25">
      <c r="A28" s="39" t="s">
        <v>205</v>
      </c>
      <c r="B28" s="39" t="s">
        <v>128</v>
      </c>
      <c r="C28" s="49">
        <v>8.2174363540000002</v>
      </c>
      <c r="D28" s="49">
        <v>1.9939262735000001</v>
      </c>
    </row>
    <row r="29" spans="1:4" x14ac:dyDescent="0.25">
      <c r="A29" s="39" t="s">
        <v>205</v>
      </c>
      <c r="B29" s="39" t="s">
        <v>129</v>
      </c>
      <c r="C29" s="49">
        <v>6.1996601590999996</v>
      </c>
      <c r="D29" s="49">
        <v>1.5151315509000001</v>
      </c>
    </row>
    <row r="30" spans="1:4" x14ac:dyDescent="0.25">
      <c r="A30" s="39" t="s">
        <v>206</v>
      </c>
      <c r="B30" s="39" t="s">
        <v>127</v>
      </c>
      <c r="C30" s="49">
        <v>20.748709951999999</v>
      </c>
      <c r="D30" s="49">
        <v>4.8263887985</v>
      </c>
    </row>
    <row r="31" spans="1:4" x14ac:dyDescent="0.25">
      <c r="A31" s="39" t="s">
        <v>206</v>
      </c>
      <c r="B31" s="39" t="s">
        <v>128</v>
      </c>
      <c r="C31" s="49">
        <v>21.238586740999999</v>
      </c>
      <c r="D31" s="49">
        <v>4.9325474349</v>
      </c>
    </row>
    <row r="32" spans="1:4" x14ac:dyDescent="0.25">
      <c r="A32" s="39" t="s">
        <v>206</v>
      </c>
      <c r="B32" s="39" t="s">
        <v>129</v>
      </c>
      <c r="C32" s="49">
        <v>20.971506647999998</v>
      </c>
      <c r="D32" s="49">
        <v>4.8747098750999998</v>
      </c>
    </row>
    <row r="33" spans="1:4" x14ac:dyDescent="0.25">
      <c r="A33" s="39" t="s">
        <v>207</v>
      </c>
      <c r="B33" s="39" t="s">
        <v>127</v>
      </c>
      <c r="C33" s="49">
        <v>14.944457505000001</v>
      </c>
      <c r="D33" s="49">
        <v>3.543301569</v>
      </c>
    </row>
    <row r="34" spans="1:4" x14ac:dyDescent="0.25">
      <c r="A34" s="39" t="s">
        <v>207</v>
      </c>
      <c r="B34" s="39" t="s">
        <v>128</v>
      </c>
      <c r="C34" s="49">
        <v>11.666736720999999</v>
      </c>
      <c r="D34" s="49">
        <v>2.7971220614000001</v>
      </c>
    </row>
    <row r="35" spans="1:4" x14ac:dyDescent="0.25">
      <c r="A35" s="39" t="s">
        <v>207</v>
      </c>
      <c r="B35" s="39" t="s">
        <v>129</v>
      </c>
      <c r="C35" s="49">
        <v>13.232867585999999</v>
      </c>
      <c r="D35" s="49">
        <v>3.1556752942999999</v>
      </c>
    </row>
    <row r="36" spans="1:4" x14ac:dyDescent="0.25">
      <c r="A36" s="41" t="s">
        <v>151</v>
      </c>
      <c r="B36" s="41" t="s">
        <v>127</v>
      </c>
      <c r="C36" s="51">
        <v>8.3335301819000005</v>
      </c>
      <c r="D36" s="51">
        <v>2.0212696138999999</v>
      </c>
    </row>
    <row r="37" spans="1:4" x14ac:dyDescent="0.25">
      <c r="A37" s="41" t="s">
        <v>151</v>
      </c>
      <c r="B37" s="41" t="s">
        <v>128</v>
      </c>
      <c r="C37" s="51">
        <v>7.3426290064000002</v>
      </c>
      <c r="D37" s="51">
        <v>1.7871740149999999</v>
      </c>
    </row>
    <row r="38" spans="1:4" x14ac:dyDescent="0.25">
      <c r="A38" s="43" t="s">
        <v>151</v>
      </c>
      <c r="B38" s="43" t="s">
        <v>129</v>
      </c>
      <c r="C38" s="52">
        <v>7.8139580777999997</v>
      </c>
      <c r="D38" s="52">
        <v>1.8987244336</v>
      </c>
    </row>
    <row r="39" spans="1:4" x14ac:dyDescent="0.25">
      <c r="A39" s="45"/>
      <c r="B39" s="36"/>
      <c r="C39" s="36"/>
      <c r="D39" s="36"/>
    </row>
    <row r="40" spans="1:4" x14ac:dyDescent="0.25">
      <c r="A40" s="36" t="s">
        <v>153</v>
      </c>
      <c r="B40" s="36"/>
      <c r="C40" s="36"/>
      <c r="D40" s="36"/>
    </row>
    <row r="41" spans="1:4" x14ac:dyDescent="0.25">
      <c r="A41" s="46" t="s">
        <v>123</v>
      </c>
      <c r="B41" s="36"/>
      <c r="C41" s="36"/>
      <c r="D41" s="36"/>
    </row>
    <row r="42" spans="1:4" x14ac:dyDescent="0.25">
      <c r="A42" s="36"/>
      <c r="B42" s="36"/>
      <c r="C42" s="36"/>
      <c r="D42" s="36"/>
    </row>
    <row r="43" spans="1:4" x14ac:dyDescent="0.25">
      <c r="A43" s="46" t="s">
        <v>154</v>
      </c>
      <c r="B43" s="36"/>
      <c r="C43" s="36"/>
      <c r="D43" s="36"/>
    </row>
    <row r="44" spans="1:4" x14ac:dyDescent="0.25">
      <c r="A44" s="36"/>
      <c r="B44" s="36"/>
      <c r="C44" s="36"/>
      <c r="D44" s="36"/>
    </row>
    <row r="45" spans="1:4" x14ac:dyDescent="0.25">
      <c r="A45" s="46" t="s">
        <v>155</v>
      </c>
      <c r="B45" s="36"/>
      <c r="C45" s="36"/>
      <c r="D45" s="36"/>
    </row>
  </sheetData>
  <mergeCells count="1">
    <mergeCell ref="A1:D1"/>
  </mergeCells>
  <hyperlinks>
    <hyperlink ref="A41" r:id="rId1" xr:uid="{00000000-0004-0000-0800-000000000000}"/>
    <hyperlink ref="A43" location="'Technical specifications'!A1" display="Technical specifications" xr:uid="{00000000-0004-0000-0800-000001000000}"/>
    <hyperlink ref="A45" location="Contents!A1" display="Back to contents" xr:uid="{00000000-0004-0000-0800-000002000000}"/>
  </hyperlinks>
  <pageMargins left="0.75" right="0.75" top="1" bottom="1" header="0.5" footer="0.5"/>
  <ignoredErrors>
    <ignoredError sqref="A9:XFD9 A10:A11"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election sqref="A1:D1"/>
    </sheetView>
  </sheetViews>
  <sheetFormatPr defaultRowHeight="15" x14ac:dyDescent="0.25"/>
  <cols>
    <col min="1" max="1" width="17" customWidth="1"/>
    <col min="2" max="4" width="12" customWidth="1"/>
  </cols>
  <sheetData>
    <row r="1" spans="1:4" ht="33.75" customHeight="1" x14ac:dyDescent="0.25">
      <c r="A1" s="73" t="s">
        <v>9</v>
      </c>
      <c r="B1" s="74"/>
      <c r="C1" s="74"/>
      <c r="D1" s="74"/>
    </row>
    <row r="2" spans="1:4" x14ac:dyDescent="0.25">
      <c r="A2" s="37" t="s">
        <v>125</v>
      </c>
      <c r="B2" s="38" t="s">
        <v>127</v>
      </c>
      <c r="C2" s="38" t="s">
        <v>128</v>
      </c>
      <c r="D2" s="38" t="s">
        <v>129</v>
      </c>
    </row>
    <row r="3" spans="1:4" x14ac:dyDescent="0.25">
      <c r="A3" s="39" t="s">
        <v>197</v>
      </c>
      <c r="B3" s="49">
        <v>675.98436829000002</v>
      </c>
      <c r="C3" s="49">
        <v>551.20132443</v>
      </c>
      <c r="D3" s="49">
        <v>616.51830008000002</v>
      </c>
    </row>
    <row r="4" spans="1:4" x14ac:dyDescent="0.25">
      <c r="A4" s="39" t="s">
        <v>198</v>
      </c>
      <c r="B4" s="49">
        <v>211.11336507999999</v>
      </c>
      <c r="C4" s="49">
        <v>161.24246155</v>
      </c>
      <c r="D4" s="49">
        <v>186.87358896000001</v>
      </c>
    </row>
    <row r="5" spans="1:4" x14ac:dyDescent="0.25">
      <c r="A5" s="39" t="s">
        <v>199</v>
      </c>
      <c r="B5" s="49">
        <v>107.01944075</v>
      </c>
      <c r="C5" s="49">
        <v>90.535719431999993</v>
      </c>
      <c r="D5" s="49">
        <v>99.038128424000007</v>
      </c>
    </row>
    <row r="6" spans="1:4" x14ac:dyDescent="0.25">
      <c r="A6" s="39" t="s">
        <v>200</v>
      </c>
      <c r="B6" s="49">
        <v>132.74968693</v>
      </c>
      <c r="C6" s="49">
        <v>225.59373650000001</v>
      </c>
      <c r="D6" s="49">
        <v>177.74488943</v>
      </c>
    </row>
    <row r="7" spans="1:4" x14ac:dyDescent="0.25">
      <c r="A7" s="39" t="s">
        <v>201</v>
      </c>
      <c r="B7" s="49">
        <v>156.82578261</v>
      </c>
      <c r="C7" s="49">
        <v>393.41949462999997</v>
      </c>
      <c r="D7" s="49">
        <v>274.83034949</v>
      </c>
    </row>
    <row r="8" spans="1:4" x14ac:dyDescent="0.25">
      <c r="A8" s="39" t="s">
        <v>202</v>
      </c>
      <c r="B8" s="49">
        <v>238.09563829000001</v>
      </c>
      <c r="C8" s="49">
        <v>405.61798741000001</v>
      </c>
      <c r="D8" s="49">
        <v>322.74253203000001</v>
      </c>
    </row>
    <row r="9" spans="1:4" x14ac:dyDescent="0.25">
      <c r="A9" s="39" t="s">
        <v>203</v>
      </c>
      <c r="B9" s="49">
        <v>401.94500966999999</v>
      </c>
      <c r="C9" s="49">
        <v>443.25137606999999</v>
      </c>
      <c r="D9" s="49">
        <v>423.39251904999998</v>
      </c>
    </row>
    <row r="10" spans="1:4" x14ac:dyDescent="0.25">
      <c r="A10" s="39" t="s">
        <v>204</v>
      </c>
      <c r="B10" s="49">
        <v>674.73996275000002</v>
      </c>
      <c r="C10" s="49">
        <v>606.87087871000006</v>
      </c>
      <c r="D10" s="49">
        <v>640.77248643999997</v>
      </c>
    </row>
    <row r="11" spans="1:4" x14ac:dyDescent="0.25">
      <c r="A11" s="39" t="s">
        <v>205</v>
      </c>
      <c r="B11" s="49">
        <v>1087.7863382</v>
      </c>
      <c r="C11" s="49">
        <v>898.40667919999999</v>
      </c>
      <c r="D11" s="49">
        <v>990.69087573000002</v>
      </c>
    </row>
    <row r="12" spans="1:4" x14ac:dyDescent="0.25">
      <c r="A12" s="39" t="s">
        <v>206</v>
      </c>
      <c r="B12" s="49">
        <v>1694.1313834</v>
      </c>
      <c r="C12" s="49">
        <v>1266.6625231</v>
      </c>
      <c r="D12" s="49">
        <v>1470.0914129</v>
      </c>
    </row>
    <row r="13" spans="1:4" x14ac:dyDescent="0.25">
      <c r="A13" s="39" t="s">
        <v>207</v>
      </c>
      <c r="B13" s="49">
        <v>1825.1219584999999</v>
      </c>
      <c r="C13" s="49">
        <v>1298.9551067</v>
      </c>
      <c r="D13" s="49">
        <v>1510.7858297</v>
      </c>
    </row>
    <row r="14" spans="1:4" x14ac:dyDescent="0.25">
      <c r="A14" s="43" t="s">
        <v>151</v>
      </c>
      <c r="B14" s="52">
        <v>451.69940544000002</v>
      </c>
      <c r="C14" s="52">
        <v>486.64122054000001</v>
      </c>
      <c r="D14" s="52">
        <v>469.83046365000001</v>
      </c>
    </row>
    <row r="15" spans="1:4" x14ac:dyDescent="0.25">
      <c r="A15" s="45"/>
      <c r="B15" s="36"/>
      <c r="C15" s="36"/>
      <c r="D15" s="36"/>
    </row>
    <row r="16" spans="1:4" x14ac:dyDescent="0.25">
      <c r="A16" s="36" t="s">
        <v>153</v>
      </c>
      <c r="B16" s="36"/>
      <c r="C16" s="36"/>
      <c r="D16" s="36"/>
    </row>
    <row r="17" spans="1:4" x14ac:dyDescent="0.25">
      <c r="A17" s="46" t="s">
        <v>123</v>
      </c>
      <c r="B17" s="36"/>
      <c r="C17" s="36"/>
      <c r="D17" s="36"/>
    </row>
    <row r="18" spans="1:4" x14ac:dyDescent="0.25">
      <c r="A18" s="36"/>
      <c r="B18" s="36"/>
      <c r="C18" s="36"/>
      <c r="D18" s="36"/>
    </row>
    <row r="19" spans="1:4" x14ac:dyDescent="0.25">
      <c r="A19" s="46" t="s">
        <v>154</v>
      </c>
      <c r="B19" s="36"/>
      <c r="C19" s="36"/>
      <c r="D19" s="36"/>
    </row>
    <row r="20" spans="1:4" x14ac:dyDescent="0.25">
      <c r="A20" s="36"/>
      <c r="B20" s="36"/>
      <c r="C20" s="36"/>
      <c r="D20" s="36"/>
    </row>
    <row r="21" spans="1:4" x14ac:dyDescent="0.25">
      <c r="A21" s="46" t="s">
        <v>155</v>
      </c>
      <c r="B21" s="36"/>
      <c r="C21" s="36"/>
      <c r="D21" s="36"/>
    </row>
  </sheetData>
  <mergeCells count="1">
    <mergeCell ref="A1:D1"/>
  </mergeCells>
  <hyperlinks>
    <hyperlink ref="A17" r:id="rId1" xr:uid="{00000000-0004-0000-0900-000000000000}"/>
    <hyperlink ref="A19" location="'Technical specifications'!A1" display="Technical specifications" xr:uid="{00000000-0004-0000-0900-000001000000}"/>
    <hyperlink ref="A21" location="Contents!A1" display="Back to contents" xr:uid="{00000000-0004-0000-0900-000002000000}"/>
  </hyperlinks>
  <pageMargins left="0.75" right="0.75" top="1" bottom="1" header="0.5" footer="0.5"/>
  <ignoredErrors>
    <ignoredError sqref="A5"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8"/>
  <sheetViews>
    <sheetView workbookViewId="0">
      <selection sqref="A1:K1"/>
    </sheetView>
  </sheetViews>
  <sheetFormatPr defaultRowHeight="15" x14ac:dyDescent="0.25"/>
  <cols>
    <col min="1" max="1" width="8.42578125" customWidth="1"/>
    <col min="2" max="2" width="17" customWidth="1"/>
    <col min="3" max="11" width="10" customWidth="1"/>
  </cols>
  <sheetData>
    <row r="1" spans="1:11" ht="33.75" customHeight="1" x14ac:dyDescent="0.25">
      <c r="A1" s="73" t="s">
        <v>10</v>
      </c>
      <c r="B1" s="74"/>
      <c r="C1" s="74"/>
      <c r="D1" s="74"/>
      <c r="E1" s="74"/>
      <c r="F1" s="74"/>
      <c r="G1" s="74"/>
      <c r="H1" s="74"/>
      <c r="I1" s="74"/>
      <c r="J1" s="74"/>
      <c r="K1" s="74"/>
    </row>
    <row r="2" spans="1:11" x14ac:dyDescent="0.25">
      <c r="A2" s="37" t="s">
        <v>178</v>
      </c>
      <c r="B2" s="37" t="s">
        <v>125</v>
      </c>
      <c r="C2" s="38" t="s">
        <v>208</v>
      </c>
      <c r="D2" s="38" t="s">
        <v>209</v>
      </c>
      <c r="E2" s="38" t="s">
        <v>210</v>
      </c>
      <c r="F2" s="38" t="s">
        <v>211</v>
      </c>
      <c r="G2" s="38" t="s">
        <v>212</v>
      </c>
      <c r="H2" s="38" t="s">
        <v>213</v>
      </c>
      <c r="I2" s="38" t="s">
        <v>214</v>
      </c>
      <c r="J2" s="38" t="s">
        <v>215</v>
      </c>
      <c r="K2" s="38" t="s">
        <v>151</v>
      </c>
    </row>
    <row r="3" spans="1:11" x14ac:dyDescent="0.25">
      <c r="A3" s="39" t="s">
        <v>127</v>
      </c>
      <c r="B3" s="39" t="s">
        <v>216</v>
      </c>
      <c r="C3" s="40">
        <v>54615</v>
      </c>
      <c r="D3" s="40">
        <v>49459</v>
      </c>
      <c r="E3" s="40">
        <v>50543</v>
      </c>
      <c r="F3" s="40">
        <v>18244</v>
      </c>
      <c r="G3" s="40">
        <v>14140</v>
      </c>
      <c r="H3" s="40">
        <v>2974</v>
      </c>
      <c r="I3" s="40">
        <v>4007</v>
      </c>
      <c r="J3" s="40">
        <v>2853</v>
      </c>
      <c r="K3" s="40">
        <v>196835</v>
      </c>
    </row>
    <row r="4" spans="1:11" x14ac:dyDescent="0.25">
      <c r="A4" s="39" t="s">
        <v>127</v>
      </c>
      <c r="B4" s="39" t="s">
        <v>199</v>
      </c>
      <c r="C4" s="40">
        <v>35785</v>
      </c>
      <c r="D4" s="40">
        <v>35383</v>
      </c>
      <c r="E4" s="40">
        <v>33989</v>
      </c>
      <c r="F4" s="40">
        <v>13718</v>
      </c>
      <c r="G4" s="40">
        <v>9238</v>
      </c>
      <c r="H4" s="40">
        <v>2590</v>
      </c>
      <c r="I4" s="40">
        <v>3102</v>
      </c>
      <c r="J4" s="40">
        <v>2044</v>
      </c>
      <c r="K4" s="40">
        <v>135849</v>
      </c>
    </row>
    <row r="5" spans="1:11" x14ac:dyDescent="0.25">
      <c r="A5" s="39" t="s">
        <v>127</v>
      </c>
      <c r="B5" s="39" t="s">
        <v>200</v>
      </c>
      <c r="C5" s="40">
        <v>39130</v>
      </c>
      <c r="D5" s="40">
        <v>43020</v>
      </c>
      <c r="E5" s="40">
        <v>39740</v>
      </c>
      <c r="F5" s="40">
        <v>14226</v>
      </c>
      <c r="G5" s="40">
        <v>9093</v>
      </c>
      <c r="H5" s="40">
        <v>3131</v>
      </c>
      <c r="I5" s="40">
        <v>4193</v>
      </c>
      <c r="J5" s="40">
        <v>3176</v>
      </c>
      <c r="K5" s="40">
        <v>155709</v>
      </c>
    </row>
    <row r="6" spans="1:11" x14ac:dyDescent="0.25">
      <c r="A6" s="39" t="s">
        <v>127</v>
      </c>
      <c r="B6" s="39" t="s">
        <v>201</v>
      </c>
      <c r="C6" s="40">
        <v>53506</v>
      </c>
      <c r="D6" s="40">
        <v>64834</v>
      </c>
      <c r="E6" s="40">
        <v>50887</v>
      </c>
      <c r="F6" s="40">
        <v>20350</v>
      </c>
      <c r="G6" s="40">
        <v>13570</v>
      </c>
      <c r="H6" s="40">
        <v>4364</v>
      </c>
      <c r="I6" s="40">
        <v>5266</v>
      </c>
      <c r="J6" s="40">
        <v>5136</v>
      </c>
      <c r="K6" s="40">
        <v>217913</v>
      </c>
    </row>
    <row r="7" spans="1:11" x14ac:dyDescent="0.25">
      <c r="A7" s="39" t="s">
        <v>127</v>
      </c>
      <c r="B7" s="39" t="s">
        <v>202</v>
      </c>
      <c r="C7" s="40">
        <v>67804</v>
      </c>
      <c r="D7" s="40">
        <v>84044</v>
      </c>
      <c r="E7" s="40">
        <v>67846</v>
      </c>
      <c r="F7" s="40">
        <v>26146</v>
      </c>
      <c r="G7" s="40">
        <v>17986</v>
      </c>
      <c r="H7" s="40">
        <v>5880</v>
      </c>
      <c r="I7" s="40">
        <v>7028</v>
      </c>
      <c r="J7" s="40">
        <v>9528</v>
      </c>
      <c r="K7" s="40">
        <v>286262</v>
      </c>
    </row>
    <row r="8" spans="1:11" x14ac:dyDescent="0.25">
      <c r="A8" s="39" t="s">
        <v>127</v>
      </c>
      <c r="B8" s="39" t="s">
        <v>203</v>
      </c>
      <c r="C8" s="40">
        <v>101376</v>
      </c>
      <c r="D8" s="40">
        <v>115132</v>
      </c>
      <c r="E8" s="40">
        <v>97267</v>
      </c>
      <c r="F8" s="40">
        <v>38742</v>
      </c>
      <c r="G8" s="40">
        <v>27005</v>
      </c>
      <c r="H8" s="40">
        <v>8597</v>
      </c>
      <c r="I8" s="40">
        <v>9225</v>
      </c>
      <c r="J8" s="40">
        <v>16444</v>
      </c>
      <c r="K8" s="40">
        <v>413788</v>
      </c>
    </row>
    <row r="9" spans="1:11" x14ac:dyDescent="0.25">
      <c r="A9" s="39" t="s">
        <v>127</v>
      </c>
      <c r="B9" s="39" t="s">
        <v>204</v>
      </c>
      <c r="C9" s="40">
        <v>166530</v>
      </c>
      <c r="D9" s="40">
        <v>169966</v>
      </c>
      <c r="E9" s="40">
        <v>145310</v>
      </c>
      <c r="F9" s="40">
        <v>55281</v>
      </c>
      <c r="G9" s="40">
        <v>42919</v>
      </c>
      <c r="H9" s="40">
        <v>14908</v>
      </c>
      <c r="I9" s="40">
        <v>9154</v>
      </c>
      <c r="J9" s="40">
        <v>17231</v>
      </c>
      <c r="K9" s="40">
        <v>621299</v>
      </c>
    </row>
    <row r="10" spans="1:11" x14ac:dyDescent="0.25">
      <c r="A10" s="39" t="s">
        <v>127</v>
      </c>
      <c r="B10" s="39" t="s">
        <v>205</v>
      </c>
      <c r="C10" s="40">
        <v>197868</v>
      </c>
      <c r="D10" s="40">
        <v>214365</v>
      </c>
      <c r="E10" s="40">
        <v>168305</v>
      </c>
      <c r="F10" s="40">
        <v>66218</v>
      </c>
      <c r="G10" s="40">
        <v>51287</v>
      </c>
      <c r="H10" s="40">
        <v>22189</v>
      </c>
      <c r="I10" s="40">
        <v>12152</v>
      </c>
      <c r="J10" s="40">
        <v>10505</v>
      </c>
      <c r="K10" s="40">
        <v>742889</v>
      </c>
    </row>
    <row r="11" spans="1:11" x14ac:dyDescent="0.25">
      <c r="A11" s="39" t="s">
        <v>127</v>
      </c>
      <c r="B11" s="39" t="s">
        <v>206</v>
      </c>
      <c r="C11" s="40">
        <v>199003</v>
      </c>
      <c r="D11" s="40">
        <v>207438</v>
      </c>
      <c r="E11" s="40">
        <v>148091</v>
      </c>
      <c r="F11" s="40">
        <v>61761</v>
      </c>
      <c r="G11" s="40">
        <v>50357</v>
      </c>
      <c r="H11" s="40">
        <v>17720</v>
      </c>
      <c r="I11" s="40">
        <v>11746</v>
      </c>
      <c r="J11" s="40">
        <v>5449</v>
      </c>
      <c r="K11" s="40">
        <v>701565</v>
      </c>
    </row>
    <row r="12" spans="1:11" x14ac:dyDescent="0.25">
      <c r="A12" s="39" t="s">
        <v>127</v>
      </c>
      <c r="B12" s="39" t="s">
        <v>217</v>
      </c>
      <c r="C12" s="40">
        <v>53530</v>
      </c>
      <c r="D12" s="40">
        <v>51916</v>
      </c>
      <c r="E12" s="40">
        <v>36929</v>
      </c>
      <c r="F12" s="40">
        <v>15473</v>
      </c>
      <c r="G12" s="40">
        <v>14641</v>
      </c>
      <c r="H12" s="40">
        <v>3980</v>
      </c>
      <c r="I12" s="40">
        <v>3283</v>
      </c>
      <c r="J12" s="40">
        <v>671</v>
      </c>
      <c r="K12" s="40">
        <v>180423</v>
      </c>
    </row>
    <row r="13" spans="1:11" x14ac:dyDescent="0.25">
      <c r="A13" s="39" t="s">
        <v>127</v>
      </c>
      <c r="B13" s="39" t="s">
        <v>218</v>
      </c>
      <c r="C13" s="40">
        <v>22647</v>
      </c>
      <c r="D13" s="40">
        <v>17717</v>
      </c>
      <c r="E13" s="40">
        <v>14031</v>
      </c>
      <c r="F13" s="40">
        <v>6378</v>
      </c>
      <c r="G13" s="40">
        <v>6309</v>
      </c>
      <c r="H13" s="40">
        <v>1429</v>
      </c>
      <c r="I13" s="40">
        <v>1682</v>
      </c>
      <c r="J13" s="40">
        <v>202</v>
      </c>
      <c r="K13" s="40">
        <v>70395</v>
      </c>
    </row>
    <row r="14" spans="1:11" x14ac:dyDescent="0.25">
      <c r="A14" s="39" t="s">
        <v>127</v>
      </c>
      <c r="B14" s="39" t="s">
        <v>150</v>
      </c>
      <c r="C14" s="40">
        <v>6049</v>
      </c>
      <c r="D14" s="40">
        <v>4511</v>
      </c>
      <c r="E14" s="40">
        <v>3542</v>
      </c>
      <c r="F14" s="40">
        <v>1535</v>
      </c>
      <c r="G14" s="40">
        <v>2127</v>
      </c>
      <c r="H14" s="40">
        <v>239</v>
      </c>
      <c r="I14" s="40">
        <v>295</v>
      </c>
      <c r="J14" s="40">
        <v>51</v>
      </c>
      <c r="K14" s="40">
        <v>18349</v>
      </c>
    </row>
    <row r="15" spans="1:11" x14ac:dyDescent="0.25">
      <c r="A15" s="47" t="s">
        <v>127</v>
      </c>
      <c r="B15" s="47" t="s">
        <v>151</v>
      </c>
      <c r="C15" s="48">
        <v>997850</v>
      </c>
      <c r="D15" s="48">
        <v>1057785</v>
      </c>
      <c r="E15" s="48">
        <v>856494</v>
      </c>
      <c r="F15" s="48">
        <v>338072</v>
      </c>
      <c r="G15" s="48">
        <v>258672</v>
      </c>
      <c r="H15" s="48">
        <v>88001</v>
      </c>
      <c r="I15" s="48">
        <v>71133</v>
      </c>
      <c r="J15" s="48">
        <v>73290</v>
      </c>
      <c r="K15" s="48">
        <v>3741297</v>
      </c>
    </row>
    <row r="16" spans="1:11" x14ac:dyDescent="0.25">
      <c r="A16" s="39" t="s">
        <v>128</v>
      </c>
      <c r="B16" s="39" t="s">
        <v>216</v>
      </c>
      <c r="C16" s="40">
        <v>41502</v>
      </c>
      <c r="D16" s="40">
        <v>36738</v>
      </c>
      <c r="E16" s="40">
        <v>39806</v>
      </c>
      <c r="F16" s="40">
        <v>13382</v>
      </c>
      <c r="G16" s="40">
        <v>10518</v>
      </c>
      <c r="H16" s="40">
        <v>2290</v>
      </c>
      <c r="I16" s="40">
        <v>2983</v>
      </c>
      <c r="J16" s="40">
        <v>2033</v>
      </c>
      <c r="K16" s="40">
        <v>149252</v>
      </c>
    </row>
    <row r="17" spans="1:11" x14ac:dyDescent="0.25">
      <c r="A17" s="39" t="s">
        <v>128</v>
      </c>
      <c r="B17" s="39" t="s">
        <v>199</v>
      </c>
      <c r="C17" s="40">
        <v>26649</v>
      </c>
      <c r="D17" s="40">
        <v>27965</v>
      </c>
      <c r="E17" s="40">
        <v>27201</v>
      </c>
      <c r="F17" s="40">
        <v>10800</v>
      </c>
      <c r="G17" s="40">
        <v>7210</v>
      </c>
      <c r="H17" s="40">
        <v>2068</v>
      </c>
      <c r="I17" s="40">
        <v>2294</v>
      </c>
      <c r="J17" s="40">
        <v>1716</v>
      </c>
      <c r="K17" s="40">
        <v>105903</v>
      </c>
    </row>
    <row r="18" spans="1:11" x14ac:dyDescent="0.25">
      <c r="A18" s="39" t="s">
        <v>128</v>
      </c>
      <c r="B18" s="39" t="s">
        <v>200</v>
      </c>
      <c r="C18" s="40">
        <v>56102</v>
      </c>
      <c r="D18" s="40">
        <v>63679</v>
      </c>
      <c r="E18" s="40">
        <v>76952</v>
      </c>
      <c r="F18" s="40">
        <v>22541</v>
      </c>
      <c r="G18" s="40">
        <v>15011</v>
      </c>
      <c r="H18" s="40">
        <v>5544</v>
      </c>
      <c r="I18" s="40">
        <v>6601</v>
      </c>
      <c r="J18" s="40">
        <v>5330</v>
      </c>
      <c r="K18" s="40">
        <v>251760</v>
      </c>
    </row>
    <row r="19" spans="1:11" x14ac:dyDescent="0.25">
      <c r="A19" s="39" t="s">
        <v>128</v>
      </c>
      <c r="B19" s="39" t="s">
        <v>201</v>
      </c>
      <c r="C19" s="40">
        <v>130593</v>
      </c>
      <c r="D19" s="40">
        <v>146998</v>
      </c>
      <c r="E19" s="40">
        <v>156191</v>
      </c>
      <c r="F19" s="40">
        <v>47453</v>
      </c>
      <c r="G19" s="40">
        <v>31793</v>
      </c>
      <c r="H19" s="40">
        <v>10514</v>
      </c>
      <c r="I19" s="40">
        <v>17692</v>
      </c>
      <c r="J19" s="40">
        <v>12150</v>
      </c>
      <c r="K19" s="40">
        <v>553384</v>
      </c>
    </row>
    <row r="20" spans="1:11" x14ac:dyDescent="0.25">
      <c r="A20" s="39" t="s">
        <v>128</v>
      </c>
      <c r="B20" s="39" t="s">
        <v>202</v>
      </c>
      <c r="C20" s="40">
        <v>101062</v>
      </c>
      <c r="D20" s="40">
        <v>132849</v>
      </c>
      <c r="E20" s="40">
        <v>114422</v>
      </c>
      <c r="F20" s="40">
        <v>41833</v>
      </c>
      <c r="G20" s="40">
        <v>25836</v>
      </c>
      <c r="H20" s="40">
        <v>8656</v>
      </c>
      <c r="I20" s="40">
        <v>12893</v>
      </c>
      <c r="J20" s="40">
        <v>16544</v>
      </c>
      <c r="K20" s="40">
        <v>454095</v>
      </c>
    </row>
    <row r="21" spans="1:11" x14ac:dyDescent="0.25">
      <c r="A21" s="39" t="s">
        <v>128</v>
      </c>
      <c r="B21" s="39" t="s">
        <v>203</v>
      </c>
      <c r="C21" s="40">
        <v>88400</v>
      </c>
      <c r="D21" s="40">
        <v>121986</v>
      </c>
      <c r="E21" s="40">
        <v>101669</v>
      </c>
      <c r="F21" s="40">
        <v>39291</v>
      </c>
      <c r="G21" s="40">
        <v>23279</v>
      </c>
      <c r="H21" s="40">
        <v>9532</v>
      </c>
      <c r="I21" s="40">
        <v>8237</v>
      </c>
      <c r="J21" s="40">
        <v>22422</v>
      </c>
      <c r="K21" s="40">
        <v>414816</v>
      </c>
    </row>
    <row r="22" spans="1:11" x14ac:dyDescent="0.25">
      <c r="A22" s="39" t="s">
        <v>128</v>
      </c>
      <c r="B22" s="39" t="s">
        <v>204</v>
      </c>
      <c r="C22" s="40">
        <v>116872</v>
      </c>
      <c r="D22" s="40">
        <v>147220</v>
      </c>
      <c r="E22" s="40">
        <v>124958</v>
      </c>
      <c r="F22" s="40">
        <v>50604</v>
      </c>
      <c r="G22" s="40">
        <v>31663</v>
      </c>
      <c r="H22" s="40">
        <v>14574</v>
      </c>
      <c r="I22" s="40">
        <v>9502</v>
      </c>
      <c r="J22" s="40">
        <v>24855</v>
      </c>
      <c r="K22" s="40">
        <v>520248</v>
      </c>
    </row>
    <row r="23" spans="1:11" x14ac:dyDescent="0.25">
      <c r="A23" s="39" t="s">
        <v>128</v>
      </c>
      <c r="B23" s="39" t="s">
        <v>205</v>
      </c>
      <c r="C23" s="40">
        <v>157305</v>
      </c>
      <c r="D23" s="40">
        <v>168256</v>
      </c>
      <c r="E23" s="40">
        <v>143324</v>
      </c>
      <c r="F23" s="40">
        <v>58796</v>
      </c>
      <c r="G23" s="40">
        <v>40469</v>
      </c>
      <c r="H23" s="40">
        <v>16960</v>
      </c>
      <c r="I23" s="40">
        <v>10049</v>
      </c>
      <c r="J23" s="40">
        <v>15124</v>
      </c>
      <c r="K23" s="40">
        <v>610283</v>
      </c>
    </row>
    <row r="24" spans="1:11" x14ac:dyDescent="0.25">
      <c r="A24" s="39" t="s">
        <v>128</v>
      </c>
      <c r="B24" s="39" t="s">
        <v>206</v>
      </c>
      <c r="C24" s="40">
        <v>158320</v>
      </c>
      <c r="D24" s="40">
        <v>157999</v>
      </c>
      <c r="E24" s="40">
        <v>121978</v>
      </c>
      <c r="F24" s="40">
        <v>48362</v>
      </c>
      <c r="G24" s="40">
        <v>40527</v>
      </c>
      <c r="H24" s="40">
        <v>14011</v>
      </c>
      <c r="I24" s="40">
        <v>10671</v>
      </c>
      <c r="J24" s="40">
        <v>5443</v>
      </c>
      <c r="K24" s="40">
        <v>557311</v>
      </c>
    </row>
    <row r="25" spans="1:11" x14ac:dyDescent="0.25">
      <c r="A25" s="39" t="s">
        <v>128</v>
      </c>
      <c r="B25" s="39" t="s">
        <v>217</v>
      </c>
      <c r="C25" s="40">
        <v>53751</v>
      </c>
      <c r="D25" s="40">
        <v>47556</v>
      </c>
      <c r="E25" s="40">
        <v>35472</v>
      </c>
      <c r="F25" s="40">
        <v>14864</v>
      </c>
      <c r="G25" s="40">
        <v>14384</v>
      </c>
      <c r="H25" s="40">
        <v>3667</v>
      </c>
      <c r="I25" s="40">
        <v>3303</v>
      </c>
      <c r="J25" s="40">
        <v>732</v>
      </c>
      <c r="K25" s="40">
        <v>173729</v>
      </c>
    </row>
    <row r="26" spans="1:11" x14ac:dyDescent="0.25">
      <c r="A26" s="39" t="s">
        <v>128</v>
      </c>
      <c r="B26" s="39" t="s">
        <v>218</v>
      </c>
      <c r="C26" s="40">
        <v>27985</v>
      </c>
      <c r="D26" s="40">
        <v>21131</v>
      </c>
      <c r="E26" s="40">
        <v>17182</v>
      </c>
      <c r="F26" s="40">
        <v>7750</v>
      </c>
      <c r="G26" s="40">
        <v>8289</v>
      </c>
      <c r="H26" s="40">
        <v>1719</v>
      </c>
      <c r="I26" s="40">
        <v>1748</v>
      </c>
      <c r="J26" s="40">
        <v>224</v>
      </c>
      <c r="K26" s="40">
        <v>86028</v>
      </c>
    </row>
    <row r="27" spans="1:11" x14ac:dyDescent="0.25">
      <c r="A27" s="39" t="s">
        <v>128</v>
      </c>
      <c r="B27" s="39" t="s">
        <v>150</v>
      </c>
      <c r="C27" s="40">
        <v>10640</v>
      </c>
      <c r="D27" s="40">
        <v>6777</v>
      </c>
      <c r="E27" s="40">
        <v>6323</v>
      </c>
      <c r="F27" s="40">
        <v>2387</v>
      </c>
      <c r="G27" s="40">
        <v>3267</v>
      </c>
      <c r="H27" s="40">
        <v>477</v>
      </c>
      <c r="I27" s="40">
        <v>598</v>
      </c>
      <c r="J27" s="40">
        <v>69</v>
      </c>
      <c r="K27" s="40">
        <v>30538</v>
      </c>
    </row>
    <row r="28" spans="1:11" x14ac:dyDescent="0.25">
      <c r="A28" s="47" t="s">
        <v>128</v>
      </c>
      <c r="B28" s="47" t="s">
        <v>151</v>
      </c>
      <c r="C28" s="48">
        <v>969186</v>
      </c>
      <c r="D28" s="48">
        <v>1079154</v>
      </c>
      <c r="E28" s="48">
        <v>965479</v>
      </c>
      <c r="F28" s="48">
        <v>358063</v>
      </c>
      <c r="G28" s="48">
        <v>252247</v>
      </c>
      <c r="H28" s="48">
        <v>90012</v>
      </c>
      <c r="I28" s="48">
        <v>86571</v>
      </c>
      <c r="J28" s="48">
        <v>106642</v>
      </c>
      <c r="K28" s="48">
        <v>3907354</v>
      </c>
    </row>
    <row r="29" spans="1:11" x14ac:dyDescent="0.25">
      <c r="A29" s="39" t="s">
        <v>129</v>
      </c>
      <c r="B29" s="39" t="s">
        <v>216</v>
      </c>
      <c r="C29" s="40">
        <v>96119</v>
      </c>
      <c r="D29" s="40">
        <v>86285</v>
      </c>
      <c r="E29" s="40">
        <v>90353</v>
      </c>
      <c r="F29" s="40">
        <v>31626</v>
      </c>
      <c r="G29" s="40">
        <v>24658</v>
      </c>
      <c r="H29" s="40">
        <v>5264</v>
      </c>
      <c r="I29" s="40">
        <v>7311</v>
      </c>
      <c r="J29" s="40">
        <v>4886</v>
      </c>
      <c r="K29" s="40">
        <v>346502</v>
      </c>
    </row>
    <row r="30" spans="1:11" x14ac:dyDescent="0.25">
      <c r="A30" s="39" t="s">
        <v>129</v>
      </c>
      <c r="B30" s="39" t="s">
        <v>199</v>
      </c>
      <c r="C30" s="40">
        <v>62442</v>
      </c>
      <c r="D30" s="40">
        <v>63357</v>
      </c>
      <c r="E30" s="40">
        <v>61191</v>
      </c>
      <c r="F30" s="40">
        <v>24518</v>
      </c>
      <c r="G30" s="40">
        <v>16448</v>
      </c>
      <c r="H30" s="40">
        <v>4658</v>
      </c>
      <c r="I30" s="40">
        <v>5447</v>
      </c>
      <c r="J30" s="40">
        <v>3760</v>
      </c>
      <c r="K30" s="40">
        <v>241821</v>
      </c>
    </row>
    <row r="31" spans="1:11" x14ac:dyDescent="0.25">
      <c r="A31" s="39" t="s">
        <v>129</v>
      </c>
      <c r="B31" s="39" t="s">
        <v>200</v>
      </c>
      <c r="C31" s="40">
        <v>95340</v>
      </c>
      <c r="D31" s="40">
        <v>106793</v>
      </c>
      <c r="E31" s="40">
        <v>116693</v>
      </c>
      <c r="F31" s="40">
        <v>36767</v>
      </c>
      <c r="G31" s="40">
        <v>24122</v>
      </c>
      <c r="H31" s="40">
        <v>8691</v>
      </c>
      <c r="I31" s="40">
        <v>10928</v>
      </c>
      <c r="J31" s="40">
        <v>8512</v>
      </c>
      <c r="K31" s="40">
        <v>407846</v>
      </c>
    </row>
    <row r="32" spans="1:11" x14ac:dyDescent="0.25">
      <c r="A32" s="39" t="s">
        <v>129</v>
      </c>
      <c r="B32" s="39" t="s">
        <v>201</v>
      </c>
      <c r="C32" s="40">
        <v>184130</v>
      </c>
      <c r="D32" s="40">
        <v>212005</v>
      </c>
      <c r="E32" s="40">
        <v>207079</v>
      </c>
      <c r="F32" s="40">
        <v>67803</v>
      </c>
      <c r="G32" s="40">
        <v>45376</v>
      </c>
      <c r="H32" s="40">
        <v>14884</v>
      </c>
      <c r="I32" s="40">
        <v>23193</v>
      </c>
      <c r="J32" s="40">
        <v>17299</v>
      </c>
      <c r="K32" s="40">
        <v>771769</v>
      </c>
    </row>
    <row r="33" spans="1:11" x14ac:dyDescent="0.25">
      <c r="A33" s="39" t="s">
        <v>129</v>
      </c>
      <c r="B33" s="39" t="s">
        <v>202</v>
      </c>
      <c r="C33" s="40">
        <v>168899</v>
      </c>
      <c r="D33" s="40">
        <v>216977</v>
      </c>
      <c r="E33" s="40">
        <v>182269</v>
      </c>
      <c r="F33" s="40">
        <v>67979</v>
      </c>
      <c r="G33" s="40">
        <v>43853</v>
      </c>
      <c r="H33" s="40">
        <v>14539</v>
      </c>
      <c r="I33" s="40">
        <v>20086</v>
      </c>
      <c r="J33" s="40">
        <v>26080</v>
      </c>
      <c r="K33" s="40">
        <v>740682</v>
      </c>
    </row>
    <row r="34" spans="1:11" x14ac:dyDescent="0.25">
      <c r="A34" s="39" t="s">
        <v>129</v>
      </c>
      <c r="B34" s="39" t="s">
        <v>203</v>
      </c>
      <c r="C34" s="40">
        <v>189793</v>
      </c>
      <c r="D34" s="40">
        <v>237168</v>
      </c>
      <c r="E34" s="40">
        <v>198936</v>
      </c>
      <c r="F34" s="40">
        <v>78033</v>
      </c>
      <c r="G34" s="40">
        <v>50286</v>
      </c>
      <c r="H34" s="40">
        <v>18130</v>
      </c>
      <c r="I34" s="40">
        <v>17605</v>
      </c>
      <c r="J34" s="40">
        <v>38870</v>
      </c>
      <c r="K34" s="40">
        <v>828821</v>
      </c>
    </row>
    <row r="35" spans="1:11" x14ac:dyDescent="0.25">
      <c r="A35" s="39" t="s">
        <v>129</v>
      </c>
      <c r="B35" s="39" t="s">
        <v>204</v>
      </c>
      <c r="C35" s="40">
        <v>283408</v>
      </c>
      <c r="D35" s="40">
        <v>317233</v>
      </c>
      <c r="E35" s="40">
        <v>270268</v>
      </c>
      <c r="F35" s="40">
        <v>105885</v>
      </c>
      <c r="G35" s="40">
        <v>74586</v>
      </c>
      <c r="H35" s="40">
        <v>29492</v>
      </c>
      <c r="I35" s="40">
        <v>18806</v>
      </c>
      <c r="J35" s="40">
        <v>42086</v>
      </c>
      <c r="K35" s="40">
        <v>1141764</v>
      </c>
    </row>
    <row r="36" spans="1:11" x14ac:dyDescent="0.25">
      <c r="A36" s="39" t="s">
        <v>129</v>
      </c>
      <c r="B36" s="39" t="s">
        <v>205</v>
      </c>
      <c r="C36" s="40">
        <v>355175</v>
      </c>
      <c r="D36" s="40">
        <v>382655</v>
      </c>
      <c r="E36" s="40">
        <v>311629</v>
      </c>
      <c r="F36" s="40">
        <v>125014</v>
      </c>
      <c r="G36" s="40">
        <v>91756</v>
      </c>
      <c r="H36" s="40">
        <v>39150</v>
      </c>
      <c r="I36" s="40">
        <v>22416</v>
      </c>
      <c r="J36" s="40">
        <v>25629</v>
      </c>
      <c r="K36" s="40">
        <v>1353424</v>
      </c>
    </row>
    <row r="37" spans="1:11" x14ac:dyDescent="0.25">
      <c r="A37" s="39" t="s">
        <v>129</v>
      </c>
      <c r="B37" s="39" t="s">
        <v>206</v>
      </c>
      <c r="C37" s="40">
        <v>357324</v>
      </c>
      <c r="D37" s="40">
        <v>365453</v>
      </c>
      <c r="E37" s="40">
        <v>270069</v>
      </c>
      <c r="F37" s="40">
        <v>110123</v>
      </c>
      <c r="G37" s="40">
        <v>90885</v>
      </c>
      <c r="H37" s="40">
        <v>31736</v>
      </c>
      <c r="I37" s="40">
        <v>22604</v>
      </c>
      <c r="J37" s="40">
        <v>10892</v>
      </c>
      <c r="K37" s="40">
        <v>1259086</v>
      </c>
    </row>
    <row r="38" spans="1:11" x14ac:dyDescent="0.25">
      <c r="A38" s="39" t="s">
        <v>129</v>
      </c>
      <c r="B38" s="39" t="s">
        <v>217</v>
      </c>
      <c r="C38" s="40">
        <v>107281</v>
      </c>
      <c r="D38" s="40">
        <v>99479</v>
      </c>
      <c r="E38" s="40">
        <v>72401</v>
      </c>
      <c r="F38" s="40">
        <v>30337</v>
      </c>
      <c r="G38" s="40">
        <v>29025</v>
      </c>
      <c r="H38" s="40">
        <v>7649</v>
      </c>
      <c r="I38" s="40">
        <v>6646</v>
      </c>
      <c r="J38" s="40">
        <v>1403</v>
      </c>
      <c r="K38" s="40">
        <v>354221</v>
      </c>
    </row>
    <row r="39" spans="1:11" x14ac:dyDescent="0.25">
      <c r="A39" s="39" t="s">
        <v>129</v>
      </c>
      <c r="B39" s="39" t="s">
        <v>218</v>
      </c>
      <c r="C39" s="40">
        <v>50632</v>
      </c>
      <c r="D39" s="40">
        <v>38851</v>
      </c>
      <c r="E39" s="40">
        <v>31213</v>
      </c>
      <c r="F39" s="40">
        <v>14128</v>
      </c>
      <c r="G39" s="40">
        <v>14598</v>
      </c>
      <c r="H39" s="40">
        <v>3148</v>
      </c>
      <c r="I39" s="40">
        <v>3458</v>
      </c>
      <c r="J39" s="40">
        <v>426</v>
      </c>
      <c r="K39" s="40">
        <v>156454</v>
      </c>
    </row>
    <row r="40" spans="1:11" x14ac:dyDescent="0.25">
      <c r="A40" s="39" t="s">
        <v>129</v>
      </c>
      <c r="B40" s="39" t="s">
        <v>150</v>
      </c>
      <c r="C40" s="40">
        <v>16689</v>
      </c>
      <c r="D40" s="40">
        <v>11289</v>
      </c>
      <c r="E40" s="40">
        <v>9865</v>
      </c>
      <c r="F40" s="40">
        <v>3922</v>
      </c>
      <c r="G40" s="40">
        <v>5394</v>
      </c>
      <c r="H40" s="40">
        <v>716</v>
      </c>
      <c r="I40" s="40">
        <v>903</v>
      </c>
      <c r="J40" s="40">
        <v>120</v>
      </c>
      <c r="K40" s="40">
        <v>48898</v>
      </c>
    </row>
    <row r="41" spans="1:11" x14ac:dyDescent="0.25">
      <c r="A41" s="43" t="s">
        <v>129</v>
      </c>
      <c r="B41" s="43" t="s">
        <v>151</v>
      </c>
      <c r="C41" s="44">
        <v>1967479</v>
      </c>
      <c r="D41" s="44">
        <v>2137545</v>
      </c>
      <c r="E41" s="44">
        <v>1821981</v>
      </c>
      <c r="F41" s="44">
        <v>696135</v>
      </c>
      <c r="G41" s="44">
        <v>510989</v>
      </c>
      <c r="H41" s="44">
        <v>178057</v>
      </c>
      <c r="I41" s="44">
        <v>159403</v>
      </c>
      <c r="J41" s="44">
        <v>179963</v>
      </c>
      <c r="K41" s="44">
        <v>7651552</v>
      </c>
    </row>
    <row r="42" spans="1:11" x14ac:dyDescent="0.25">
      <c r="A42" s="45"/>
      <c r="B42" s="36"/>
      <c r="C42" s="36"/>
      <c r="D42" s="36"/>
      <c r="E42" s="36"/>
      <c r="F42" s="36"/>
      <c r="G42" s="36"/>
      <c r="H42" s="36"/>
      <c r="I42" s="36"/>
      <c r="J42" s="36"/>
      <c r="K42" s="36"/>
    </row>
    <row r="43" spans="1:11" x14ac:dyDescent="0.25">
      <c r="A43" s="36" t="s">
        <v>153</v>
      </c>
      <c r="B43" s="36"/>
      <c r="C43" s="36"/>
      <c r="D43" s="36"/>
      <c r="E43" s="36"/>
      <c r="F43" s="36"/>
      <c r="G43" s="36"/>
      <c r="H43" s="36"/>
      <c r="I43" s="36"/>
      <c r="J43" s="36"/>
      <c r="K43" s="36"/>
    </row>
    <row r="44" spans="1:11" x14ac:dyDescent="0.25">
      <c r="A44" s="46" t="s">
        <v>123</v>
      </c>
      <c r="B44" s="36"/>
      <c r="C44" s="36"/>
      <c r="D44" s="36"/>
      <c r="E44" s="36"/>
      <c r="F44" s="36"/>
      <c r="G44" s="36"/>
      <c r="H44" s="36"/>
      <c r="I44" s="36"/>
      <c r="J44" s="36"/>
      <c r="K44" s="36"/>
    </row>
    <row r="45" spans="1:11" x14ac:dyDescent="0.25">
      <c r="A45" s="36"/>
      <c r="B45" s="36"/>
      <c r="C45" s="36"/>
      <c r="D45" s="36"/>
      <c r="E45" s="36"/>
      <c r="F45" s="36"/>
      <c r="G45" s="36"/>
      <c r="H45" s="36"/>
      <c r="I45" s="36"/>
      <c r="J45" s="36"/>
      <c r="K45" s="36"/>
    </row>
    <row r="46" spans="1:11" x14ac:dyDescent="0.25">
      <c r="A46" s="46" t="s">
        <v>154</v>
      </c>
      <c r="B46" s="36"/>
      <c r="C46" s="36"/>
      <c r="D46" s="36"/>
      <c r="E46" s="36"/>
      <c r="F46" s="36"/>
      <c r="G46" s="36"/>
      <c r="H46" s="36"/>
      <c r="I46" s="36"/>
      <c r="J46" s="36"/>
      <c r="K46" s="36"/>
    </row>
    <row r="47" spans="1:11" x14ac:dyDescent="0.25">
      <c r="A47" s="36"/>
      <c r="B47" s="36"/>
      <c r="C47" s="36"/>
      <c r="D47" s="36"/>
      <c r="E47" s="36"/>
      <c r="F47" s="36"/>
      <c r="G47" s="36"/>
      <c r="H47" s="36"/>
      <c r="I47" s="36"/>
      <c r="J47" s="36"/>
      <c r="K47" s="36"/>
    </row>
    <row r="48" spans="1:11" x14ac:dyDescent="0.25">
      <c r="A48" s="46" t="s">
        <v>155</v>
      </c>
      <c r="B48" s="36"/>
      <c r="C48" s="36"/>
      <c r="D48" s="36"/>
      <c r="E48" s="36"/>
      <c r="F48" s="36"/>
      <c r="G48" s="36"/>
      <c r="H48" s="36"/>
      <c r="I48" s="36"/>
      <c r="J48" s="36"/>
      <c r="K48" s="36"/>
    </row>
  </sheetData>
  <mergeCells count="1">
    <mergeCell ref="A1:K1"/>
  </mergeCells>
  <hyperlinks>
    <hyperlink ref="A44" r:id="rId1" xr:uid="{00000000-0004-0000-0A00-000000000000}"/>
    <hyperlink ref="A46" location="'Technical specifications'!A1" display="Technical specifications" xr:uid="{00000000-0004-0000-0A00-000001000000}"/>
    <hyperlink ref="A48" location="Contents!A1" display="Back to contents" xr:uid="{00000000-0004-0000-0A00-000002000000}"/>
  </hyperlinks>
  <pageMargins left="0.75" right="0.75" top="1" bottom="1" header="0.5" footer="0.5"/>
  <ignoredErrors>
    <ignoredError sqref="B4 B17 B30"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8"/>
  <sheetViews>
    <sheetView workbookViewId="0">
      <selection sqref="A1:K1"/>
    </sheetView>
  </sheetViews>
  <sheetFormatPr defaultRowHeight="15" x14ac:dyDescent="0.25"/>
  <cols>
    <col min="1" max="1" width="8.42578125" customWidth="1"/>
    <col min="2" max="2" width="17" customWidth="1"/>
    <col min="3" max="11" width="12" customWidth="1"/>
  </cols>
  <sheetData>
    <row r="1" spans="1:11" ht="33.75" customHeight="1" x14ac:dyDescent="0.25">
      <c r="A1" s="73" t="s">
        <v>11</v>
      </c>
      <c r="B1" s="74"/>
      <c r="C1" s="74"/>
      <c r="D1" s="74"/>
      <c r="E1" s="74"/>
      <c r="F1" s="74"/>
      <c r="G1" s="74"/>
      <c r="H1" s="74"/>
      <c r="I1" s="74"/>
      <c r="J1" s="74"/>
      <c r="K1" s="74"/>
    </row>
    <row r="2" spans="1:11" x14ac:dyDescent="0.25">
      <c r="A2" s="37" t="s">
        <v>178</v>
      </c>
      <c r="B2" s="37" t="s">
        <v>125</v>
      </c>
      <c r="C2" s="38" t="s">
        <v>208</v>
      </c>
      <c r="D2" s="38" t="s">
        <v>209</v>
      </c>
      <c r="E2" s="38" t="s">
        <v>210</v>
      </c>
      <c r="F2" s="38" t="s">
        <v>211</v>
      </c>
      <c r="G2" s="38" t="s">
        <v>212</v>
      </c>
      <c r="H2" s="38" t="s">
        <v>213</v>
      </c>
      <c r="I2" s="38" t="s">
        <v>214</v>
      </c>
      <c r="J2" s="38" t="s">
        <v>215</v>
      </c>
      <c r="K2" s="38" t="s">
        <v>151</v>
      </c>
    </row>
    <row r="3" spans="1:11" x14ac:dyDescent="0.25">
      <c r="A3" s="39" t="s">
        <v>127</v>
      </c>
      <c r="B3" s="39" t="s">
        <v>216</v>
      </c>
      <c r="C3" s="40">
        <v>176695</v>
      </c>
      <c r="D3" s="40">
        <v>155770</v>
      </c>
      <c r="E3" s="40">
        <v>135255</v>
      </c>
      <c r="F3" s="40">
        <v>56712</v>
      </c>
      <c r="G3" s="40">
        <v>41789</v>
      </c>
      <c r="H3" s="40">
        <v>9029</v>
      </c>
      <c r="I3" s="40">
        <v>11592</v>
      </c>
      <c r="J3" s="40">
        <v>9909</v>
      </c>
      <c r="K3" s="40">
        <v>596751</v>
      </c>
    </row>
    <row r="4" spans="1:11" x14ac:dyDescent="0.25">
      <c r="A4" s="39" t="s">
        <v>127</v>
      </c>
      <c r="B4" s="39" t="s">
        <v>199</v>
      </c>
      <c r="C4" s="40">
        <v>68513</v>
      </c>
      <c r="D4" s="40">
        <v>60311</v>
      </c>
      <c r="E4" s="40">
        <v>56674</v>
      </c>
      <c r="F4" s="40">
        <v>26480</v>
      </c>
      <c r="G4" s="40">
        <v>16378</v>
      </c>
      <c r="H4" s="40">
        <v>4338</v>
      </c>
      <c r="I4" s="40">
        <v>4712</v>
      </c>
      <c r="J4" s="40">
        <v>4285</v>
      </c>
      <c r="K4" s="40">
        <v>241691</v>
      </c>
    </row>
    <row r="5" spans="1:11" x14ac:dyDescent="0.25">
      <c r="A5" s="39" t="s">
        <v>127</v>
      </c>
      <c r="B5" s="39" t="s">
        <v>200</v>
      </c>
      <c r="C5" s="40">
        <v>132890</v>
      </c>
      <c r="D5" s="40">
        <v>102730</v>
      </c>
      <c r="E5" s="40">
        <v>108234</v>
      </c>
      <c r="F5" s="40">
        <v>48772</v>
      </c>
      <c r="G5" s="40">
        <v>28702</v>
      </c>
      <c r="H5" s="40">
        <v>9041</v>
      </c>
      <c r="I5" s="40">
        <v>8945</v>
      </c>
      <c r="J5" s="40">
        <v>8328</v>
      </c>
      <c r="K5" s="40">
        <v>447642</v>
      </c>
    </row>
    <row r="6" spans="1:11" x14ac:dyDescent="0.25">
      <c r="A6" s="39" t="s">
        <v>127</v>
      </c>
      <c r="B6" s="39" t="s">
        <v>201</v>
      </c>
      <c r="C6" s="40">
        <v>213477</v>
      </c>
      <c r="D6" s="40">
        <v>183991</v>
      </c>
      <c r="E6" s="40">
        <v>155836</v>
      </c>
      <c r="F6" s="40">
        <v>76692</v>
      </c>
      <c r="G6" s="40">
        <v>42213</v>
      </c>
      <c r="H6" s="40">
        <v>14014</v>
      </c>
      <c r="I6" s="40">
        <v>14736</v>
      </c>
      <c r="J6" s="40">
        <v>12077</v>
      </c>
      <c r="K6" s="40">
        <v>713036</v>
      </c>
    </row>
    <row r="7" spans="1:11" x14ac:dyDescent="0.25">
      <c r="A7" s="39" t="s">
        <v>127</v>
      </c>
      <c r="B7" s="39" t="s">
        <v>202</v>
      </c>
      <c r="C7" s="40">
        <v>266109</v>
      </c>
      <c r="D7" s="40">
        <v>218745</v>
      </c>
      <c r="E7" s="40">
        <v>203923</v>
      </c>
      <c r="F7" s="40">
        <v>88673</v>
      </c>
      <c r="G7" s="40">
        <v>54890</v>
      </c>
      <c r="H7" s="40">
        <v>22853</v>
      </c>
      <c r="I7" s="40">
        <v>17138</v>
      </c>
      <c r="J7" s="40">
        <v>19637</v>
      </c>
      <c r="K7" s="40">
        <v>891968</v>
      </c>
    </row>
    <row r="8" spans="1:11" x14ac:dyDescent="0.25">
      <c r="A8" s="39" t="s">
        <v>127</v>
      </c>
      <c r="B8" s="39" t="s">
        <v>203</v>
      </c>
      <c r="C8" s="40">
        <v>362990</v>
      </c>
      <c r="D8" s="40">
        <v>290361</v>
      </c>
      <c r="E8" s="40">
        <v>257783</v>
      </c>
      <c r="F8" s="40">
        <v>119318</v>
      </c>
      <c r="G8" s="40">
        <v>84133</v>
      </c>
      <c r="H8" s="40">
        <v>24415</v>
      </c>
      <c r="I8" s="40">
        <v>23940</v>
      </c>
      <c r="J8" s="40">
        <v>30269</v>
      </c>
      <c r="K8" s="40">
        <v>1193209</v>
      </c>
    </row>
    <row r="9" spans="1:11" x14ac:dyDescent="0.25">
      <c r="A9" s="39" t="s">
        <v>127</v>
      </c>
      <c r="B9" s="39" t="s">
        <v>204</v>
      </c>
      <c r="C9" s="40">
        <v>564733</v>
      </c>
      <c r="D9" s="40">
        <v>449010</v>
      </c>
      <c r="E9" s="40">
        <v>375761</v>
      </c>
      <c r="F9" s="40">
        <v>160235</v>
      </c>
      <c r="G9" s="40">
        <v>141138</v>
      </c>
      <c r="H9" s="40">
        <v>44551</v>
      </c>
      <c r="I9" s="40">
        <v>28292</v>
      </c>
      <c r="J9" s="40">
        <v>35086</v>
      </c>
      <c r="K9" s="40">
        <v>1798806</v>
      </c>
    </row>
    <row r="10" spans="1:11" x14ac:dyDescent="0.25">
      <c r="A10" s="39" t="s">
        <v>127</v>
      </c>
      <c r="B10" s="39" t="s">
        <v>205</v>
      </c>
      <c r="C10" s="40">
        <v>715494</v>
      </c>
      <c r="D10" s="40">
        <v>572831</v>
      </c>
      <c r="E10" s="40">
        <v>487907</v>
      </c>
      <c r="F10" s="40">
        <v>201735</v>
      </c>
      <c r="G10" s="40">
        <v>187733</v>
      </c>
      <c r="H10" s="40">
        <v>63120</v>
      </c>
      <c r="I10" s="40">
        <v>42204</v>
      </c>
      <c r="J10" s="40">
        <v>32849</v>
      </c>
      <c r="K10" s="40">
        <v>2303873</v>
      </c>
    </row>
    <row r="11" spans="1:11" x14ac:dyDescent="0.25">
      <c r="A11" s="39" t="s">
        <v>127</v>
      </c>
      <c r="B11" s="39" t="s">
        <v>206</v>
      </c>
      <c r="C11" s="40">
        <v>826570</v>
      </c>
      <c r="D11" s="40">
        <v>622586</v>
      </c>
      <c r="E11" s="40">
        <v>525038</v>
      </c>
      <c r="F11" s="40">
        <v>211581</v>
      </c>
      <c r="G11" s="40">
        <v>221490</v>
      </c>
      <c r="H11" s="40">
        <v>67659</v>
      </c>
      <c r="I11" s="40">
        <v>46092</v>
      </c>
      <c r="J11" s="40">
        <v>26293</v>
      </c>
      <c r="K11" s="40">
        <v>2547309</v>
      </c>
    </row>
    <row r="12" spans="1:11" x14ac:dyDescent="0.25">
      <c r="A12" s="39" t="s">
        <v>127</v>
      </c>
      <c r="B12" s="39" t="s">
        <v>217</v>
      </c>
      <c r="C12" s="40">
        <v>293398</v>
      </c>
      <c r="D12" s="40">
        <v>208793</v>
      </c>
      <c r="E12" s="40">
        <v>161087</v>
      </c>
      <c r="F12" s="40">
        <v>75155</v>
      </c>
      <c r="G12" s="40">
        <v>84235</v>
      </c>
      <c r="H12" s="40">
        <v>21824</v>
      </c>
      <c r="I12" s="40">
        <v>15065</v>
      </c>
      <c r="J12" s="40">
        <v>5196</v>
      </c>
      <c r="K12" s="40">
        <v>864753</v>
      </c>
    </row>
    <row r="13" spans="1:11" x14ac:dyDescent="0.25">
      <c r="A13" s="39" t="s">
        <v>127</v>
      </c>
      <c r="B13" s="39" t="s">
        <v>218</v>
      </c>
      <c r="C13" s="40">
        <v>143517</v>
      </c>
      <c r="D13" s="40">
        <v>99228</v>
      </c>
      <c r="E13" s="40">
        <v>70527</v>
      </c>
      <c r="F13" s="40">
        <v>39552</v>
      </c>
      <c r="G13" s="40">
        <v>40482</v>
      </c>
      <c r="H13" s="40">
        <v>10200</v>
      </c>
      <c r="I13" s="40">
        <v>7791</v>
      </c>
      <c r="J13" s="40">
        <v>3275</v>
      </c>
      <c r="K13" s="40">
        <v>414572</v>
      </c>
    </row>
    <row r="14" spans="1:11" x14ac:dyDescent="0.25">
      <c r="A14" s="39" t="s">
        <v>127</v>
      </c>
      <c r="B14" s="39" t="s">
        <v>150</v>
      </c>
      <c r="C14" s="40">
        <v>39646</v>
      </c>
      <c r="D14" s="40">
        <v>25772</v>
      </c>
      <c r="E14" s="40">
        <v>17709</v>
      </c>
      <c r="F14" s="40">
        <v>10440</v>
      </c>
      <c r="G14" s="40">
        <v>13358</v>
      </c>
      <c r="H14" s="40">
        <v>1774</v>
      </c>
      <c r="I14" s="40">
        <v>1627</v>
      </c>
      <c r="J14" s="40">
        <v>546</v>
      </c>
      <c r="K14" s="40">
        <v>110872</v>
      </c>
    </row>
    <row r="15" spans="1:11" x14ac:dyDescent="0.25">
      <c r="A15" s="47" t="s">
        <v>127</v>
      </c>
      <c r="B15" s="47" t="s">
        <v>151</v>
      </c>
      <c r="C15" s="48">
        <v>3804048</v>
      </c>
      <c r="D15" s="48">
        <v>2990128</v>
      </c>
      <c r="E15" s="48">
        <v>2555748</v>
      </c>
      <c r="F15" s="48">
        <v>1115345</v>
      </c>
      <c r="G15" s="48">
        <v>956541</v>
      </c>
      <c r="H15" s="48">
        <v>292818</v>
      </c>
      <c r="I15" s="48">
        <v>222134</v>
      </c>
      <c r="J15" s="48">
        <v>187750</v>
      </c>
      <c r="K15" s="48">
        <v>12124512</v>
      </c>
    </row>
    <row r="16" spans="1:11" x14ac:dyDescent="0.25">
      <c r="A16" s="39" t="s">
        <v>128</v>
      </c>
      <c r="B16" s="39" t="s">
        <v>216</v>
      </c>
      <c r="C16" s="40">
        <v>143728</v>
      </c>
      <c r="D16" s="40">
        <v>124816</v>
      </c>
      <c r="E16" s="40">
        <v>112767</v>
      </c>
      <c r="F16" s="40">
        <v>46257</v>
      </c>
      <c r="G16" s="40">
        <v>31038</v>
      </c>
      <c r="H16" s="40">
        <v>7173</v>
      </c>
      <c r="I16" s="40">
        <v>9709</v>
      </c>
      <c r="J16" s="40">
        <v>7128</v>
      </c>
      <c r="K16" s="40">
        <v>482616</v>
      </c>
    </row>
    <row r="17" spans="1:11" x14ac:dyDescent="0.25">
      <c r="A17" s="39" t="s">
        <v>128</v>
      </c>
      <c r="B17" s="39" t="s">
        <v>199</v>
      </c>
      <c r="C17" s="40">
        <v>60210</v>
      </c>
      <c r="D17" s="40">
        <v>54450</v>
      </c>
      <c r="E17" s="40">
        <v>49637</v>
      </c>
      <c r="F17" s="40">
        <v>23728</v>
      </c>
      <c r="G17" s="40">
        <v>13471</v>
      </c>
      <c r="H17" s="40">
        <v>4116</v>
      </c>
      <c r="I17" s="40">
        <v>3721</v>
      </c>
      <c r="J17" s="40">
        <v>4004</v>
      </c>
      <c r="K17" s="40">
        <v>213337</v>
      </c>
    </row>
    <row r="18" spans="1:11" x14ac:dyDescent="0.25">
      <c r="A18" s="39" t="s">
        <v>128</v>
      </c>
      <c r="B18" s="39" t="s">
        <v>200</v>
      </c>
      <c r="C18" s="40">
        <v>161066</v>
      </c>
      <c r="D18" s="40">
        <v>142748</v>
      </c>
      <c r="E18" s="40">
        <v>145813</v>
      </c>
      <c r="F18" s="40">
        <v>70706</v>
      </c>
      <c r="G18" s="40">
        <v>38749</v>
      </c>
      <c r="H18" s="40">
        <v>13243</v>
      </c>
      <c r="I18" s="40">
        <v>14973</v>
      </c>
      <c r="J18" s="40">
        <v>12013</v>
      </c>
      <c r="K18" s="40">
        <v>599311</v>
      </c>
    </row>
    <row r="19" spans="1:11" x14ac:dyDescent="0.25">
      <c r="A19" s="39" t="s">
        <v>128</v>
      </c>
      <c r="B19" s="39" t="s">
        <v>201</v>
      </c>
      <c r="C19" s="40">
        <v>344369</v>
      </c>
      <c r="D19" s="40">
        <v>317138</v>
      </c>
      <c r="E19" s="40">
        <v>280868</v>
      </c>
      <c r="F19" s="40">
        <v>119289</v>
      </c>
      <c r="G19" s="40">
        <v>74865</v>
      </c>
      <c r="H19" s="40">
        <v>28005</v>
      </c>
      <c r="I19" s="40">
        <v>33865</v>
      </c>
      <c r="J19" s="40">
        <v>24317</v>
      </c>
      <c r="K19" s="40">
        <v>1222716</v>
      </c>
    </row>
    <row r="20" spans="1:11" x14ac:dyDescent="0.25">
      <c r="A20" s="39" t="s">
        <v>128</v>
      </c>
      <c r="B20" s="39" t="s">
        <v>202</v>
      </c>
      <c r="C20" s="40">
        <v>289742</v>
      </c>
      <c r="D20" s="40">
        <v>282667</v>
      </c>
      <c r="E20" s="40">
        <v>222197</v>
      </c>
      <c r="F20" s="40">
        <v>115513</v>
      </c>
      <c r="G20" s="40">
        <v>68282</v>
      </c>
      <c r="H20" s="40">
        <v>23294</v>
      </c>
      <c r="I20" s="40">
        <v>25821</v>
      </c>
      <c r="J20" s="40">
        <v>29255</v>
      </c>
      <c r="K20" s="40">
        <v>1056771</v>
      </c>
    </row>
    <row r="21" spans="1:11" x14ac:dyDescent="0.25">
      <c r="A21" s="39" t="s">
        <v>128</v>
      </c>
      <c r="B21" s="39" t="s">
        <v>203</v>
      </c>
      <c r="C21" s="40">
        <v>291580</v>
      </c>
      <c r="D21" s="40">
        <v>268600</v>
      </c>
      <c r="E21" s="40">
        <v>226532</v>
      </c>
      <c r="F21" s="40">
        <v>97680</v>
      </c>
      <c r="G21" s="40">
        <v>67979</v>
      </c>
      <c r="H21" s="40">
        <v>26732</v>
      </c>
      <c r="I21" s="40">
        <v>19963</v>
      </c>
      <c r="J21" s="40">
        <v>38005</v>
      </c>
      <c r="K21" s="40">
        <v>1037071</v>
      </c>
    </row>
    <row r="22" spans="1:11" x14ac:dyDescent="0.25">
      <c r="A22" s="39" t="s">
        <v>128</v>
      </c>
      <c r="B22" s="39" t="s">
        <v>204</v>
      </c>
      <c r="C22" s="40">
        <v>400715</v>
      </c>
      <c r="D22" s="40">
        <v>365293</v>
      </c>
      <c r="E22" s="40">
        <v>303206</v>
      </c>
      <c r="F22" s="40">
        <v>138666</v>
      </c>
      <c r="G22" s="40">
        <v>105123</v>
      </c>
      <c r="H22" s="40">
        <v>39688</v>
      </c>
      <c r="I22" s="40">
        <v>27675</v>
      </c>
      <c r="J22" s="40">
        <v>40510</v>
      </c>
      <c r="K22" s="40">
        <v>1420876</v>
      </c>
    </row>
    <row r="23" spans="1:11" x14ac:dyDescent="0.25">
      <c r="A23" s="39" t="s">
        <v>128</v>
      </c>
      <c r="B23" s="39" t="s">
        <v>205</v>
      </c>
      <c r="C23" s="40">
        <v>561714</v>
      </c>
      <c r="D23" s="40">
        <v>467438</v>
      </c>
      <c r="E23" s="40">
        <v>392463</v>
      </c>
      <c r="F23" s="40">
        <v>166811</v>
      </c>
      <c r="G23" s="40">
        <v>154981</v>
      </c>
      <c r="H23" s="40">
        <v>52912</v>
      </c>
      <c r="I23" s="40">
        <v>32395</v>
      </c>
      <c r="J23" s="40">
        <v>30680</v>
      </c>
      <c r="K23" s="40">
        <v>1859394</v>
      </c>
    </row>
    <row r="24" spans="1:11" x14ac:dyDescent="0.25">
      <c r="A24" s="39" t="s">
        <v>128</v>
      </c>
      <c r="B24" s="39" t="s">
        <v>206</v>
      </c>
      <c r="C24" s="40">
        <v>729088</v>
      </c>
      <c r="D24" s="40">
        <v>560571</v>
      </c>
      <c r="E24" s="40">
        <v>438195</v>
      </c>
      <c r="F24" s="40">
        <v>189858</v>
      </c>
      <c r="G24" s="40">
        <v>199941</v>
      </c>
      <c r="H24" s="40">
        <v>62760</v>
      </c>
      <c r="I24" s="40">
        <v>44513</v>
      </c>
      <c r="J24" s="40">
        <v>19531</v>
      </c>
      <c r="K24" s="40">
        <v>2244457</v>
      </c>
    </row>
    <row r="25" spans="1:11" x14ac:dyDescent="0.25">
      <c r="A25" s="39" t="s">
        <v>128</v>
      </c>
      <c r="B25" s="39" t="s">
        <v>217</v>
      </c>
      <c r="C25" s="40">
        <v>329390</v>
      </c>
      <c r="D25" s="40">
        <v>236662</v>
      </c>
      <c r="E25" s="40">
        <v>163800</v>
      </c>
      <c r="F25" s="40">
        <v>81988</v>
      </c>
      <c r="G25" s="40">
        <v>92544</v>
      </c>
      <c r="H25" s="40">
        <v>23313</v>
      </c>
      <c r="I25" s="40">
        <v>17336</v>
      </c>
      <c r="J25" s="40">
        <v>6521</v>
      </c>
      <c r="K25" s="40">
        <v>951554</v>
      </c>
    </row>
    <row r="26" spans="1:11" x14ac:dyDescent="0.25">
      <c r="A26" s="39" t="s">
        <v>128</v>
      </c>
      <c r="B26" s="39" t="s">
        <v>218</v>
      </c>
      <c r="C26" s="40">
        <v>188436</v>
      </c>
      <c r="D26" s="40">
        <v>128000</v>
      </c>
      <c r="E26" s="40">
        <v>86032</v>
      </c>
      <c r="F26" s="40">
        <v>47053</v>
      </c>
      <c r="G26" s="40">
        <v>54899</v>
      </c>
      <c r="H26" s="40">
        <v>13328</v>
      </c>
      <c r="I26" s="40">
        <v>10801</v>
      </c>
      <c r="J26" s="40">
        <v>2606</v>
      </c>
      <c r="K26" s="40">
        <v>531155</v>
      </c>
    </row>
    <row r="27" spans="1:11" x14ac:dyDescent="0.25">
      <c r="A27" s="39" t="s">
        <v>128</v>
      </c>
      <c r="B27" s="39" t="s">
        <v>150</v>
      </c>
      <c r="C27" s="40">
        <v>74554</v>
      </c>
      <c r="D27" s="40">
        <v>44481</v>
      </c>
      <c r="E27" s="40">
        <v>30884</v>
      </c>
      <c r="F27" s="40">
        <v>16933</v>
      </c>
      <c r="G27" s="40">
        <v>22843</v>
      </c>
      <c r="H27" s="40">
        <v>3956</v>
      </c>
      <c r="I27" s="40">
        <v>3609</v>
      </c>
      <c r="J27" s="40">
        <v>1436</v>
      </c>
      <c r="K27" s="40">
        <v>198696</v>
      </c>
    </row>
    <row r="28" spans="1:11" x14ac:dyDescent="0.25">
      <c r="A28" s="47" t="s">
        <v>128</v>
      </c>
      <c r="B28" s="47" t="s">
        <v>151</v>
      </c>
      <c r="C28" s="48">
        <v>3574618</v>
      </c>
      <c r="D28" s="48">
        <v>2992864</v>
      </c>
      <c r="E28" s="48">
        <v>2452395</v>
      </c>
      <c r="F28" s="48">
        <v>1114482</v>
      </c>
      <c r="G28" s="48">
        <v>924716</v>
      </c>
      <c r="H28" s="48">
        <v>298520</v>
      </c>
      <c r="I28" s="48">
        <v>244381</v>
      </c>
      <c r="J28" s="48">
        <v>216006</v>
      </c>
      <c r="K28" s="48">
        <v>11817982</v>
      </c>
    </row>
    <row r="29" spans="1:11" x14ac:dyDescent="0.25">
      <c r="A29" s="39" t="s">
        <v>129</v>
      </c>
      <c r="B29" s="39" t="s">
        <v>216</v>
      </c>
      <c r="C29" s="40">
        <v>320427</v>
      </c>
      <c r="D29" s="40">
        <v>281272</v>
      </c>
      <c r="E29" s="40">
        <v>248026</v>
      </c>
      <c r="F29" s="40">
        <v>102969</v>
      </c>
      <c r="G29" s="40">
        <v>72827</v>
      </c>
      <c r="H29" s="40">
        <v>16202</v>
      </c>
      <c r="I29" s="40">
        <v>24651</v>
      </c>
      <c r="J29" s="40">
        <v>17037</v>
      </c>
      <c r="K29" s="40">
        <v>1083411</v>
      </c>
    </row>
    <row r="30" spans="1:11" x14ac:dyDescent="0.25">
      <c r="A30" s="39" t="s">
        <v>129</v>
      </c>
      <c r="B30" s="39" t="s">
        <v>199</v>
      </c>
      <c r="C30" s="40">
        <v>128768</v>
      </c>
      <c r="D30" s="40">
        <v>114771</v>
      </c>
      <c r="E30" s="40">
        <v>106312</v>
      </c>
      <c r="F30" s="40">
        <v>50208</v>
      </c>
      <c r="G30" s="40">
        <v>29849</v>
      </c>
      <c r="H30" s="40">
        <v>8454</v>
      </c>
      <c r="I30" s="40">
        <v>8542</v>
      </c>
      <c r="J30" s="40">
        <v>8289</v>
      </c>
      <c r="K30" s="40">
        <v>455193</v>
      </c>
    </row>
    <row r="31" spans="1:11" x14ac:dyDescent="0.25">
      <c r="A31" s="39" t="s">
        <v>129</v>
      </c>
      <c r="B31" s="39" t="s">
        <v>200</v>
      </c>
      <c r="C31" s="40">
        <v>294656</v>
      </c>
      <c r="D31" s="40">
        <v>245686</v>
      </c>
      <c r="E31" s="40">
        <v>254048</v>
      </c>
      <c r="F31" s="40">
        <v>119478</v>
      </c>
      <c r="G31" s="40">
        <v>67484</v>
      </c>
      <c r="H31" s="40">
        <v>22357</v>
      </c>
      <c r="I31" s="40">
        <v>24377</v>
      </c>
      <c r="J31" s="40">
        <v>20347</v>
      </c>
      <c r="K31" s="40">
        <v>1048433</v>
      </c>
    </row>
    <row r="32" spans="1:11" x14ac:dyDescent="0.25">
      <c r="A32" s="39" t="s">
        <v>129</v>
      </c>
      <c r="B32" s="39" t="s">
        <v>201</v>
      </c>
      <c r="C32" s="40">
        <v>558018</v>
      </c>
      <c r="D32" s="40">
        <v>501474</v>
      </c>
      <c r="E32" s="40">
        <v>436705</v>
      </c>
      <c r="F32" s="40">
        <v>195981</v>
      </c>
      <c r="G32" s="40">
        <v>117125</v>
      </c>
      <c r="H32" s="40">
        <v>42030</v>
      </c>
      <c r="I32" s="40">
        <v>49255</v>
      </c>
      <c r="J32" s="40">
        <v>36431</v>
      </c>
      <c r="K32" s="40">
        <v>1937019</v>
      </c>
    </row>
    <row r="33" spans="1:11" x14ac:dyDescent="0.25">
      <c r="A33" s="39" t="s">
        <v>129</v>
      </c>
      <c r="B33" s="39" t="s">
        <v>202</v>
      </c>
      <c r="C33" s="40">
        <v>555949</v>
      </c>
      <c r="D33" s="40">
        <v>501647</v>
      </c>
      <c r="E33" s="40">
        <v>426121</v>
      </c>
      <c r="F33" s="40">
        <v>204186</v>
      </c>
      <c r="G33" s="40">
        <v>123211</v>
      </c>
      <c r="H33" s="40">
        <v>46153</v>
      </c>
      <c r="I33" s="40">
        <v>43483</v>
      </c>
      <c r="J33" s="40">
        <v>48906</v>
      </c>
      <c r="K33" s="40">
        <v>1949656</v>
      </c>
    </row>
    <row r="34" spans="1:11" x14ac:dyDescent="0.25">
      <c r="A34" s="39" t="s">
        <v>129</v>
      </c>
      <c r="B34" s="39" t="s">
        <v>203</v>
      </c>
      <c r="C34" s="40">
        <v>654651</v>
      </c>
      <c r="D34" s="40">
        <v>559040</v>
      </c>
      <c r="E34" s="40">
        <v>484315</v>
      </c>
      <c r="F34" s="40">
        <v>216998</v>
      </c>
      <c r="G34" s="40">
        <v>152114</v>
      </c>
      <c r="H34" s="40">
        <v>51149</v>
      </c>
      <c r="I34" s="40">
        <v>44655</v>
      </c>
      <c r="J34" s="40">
        <v>68289</v>
      </c>
      <c r="K34" s="40">
        <v>2231211</v>
      </c>
    </row>
    <row r="35" spans="1:11" x14ac:dyDescent="0.25">
      <c r="A35" s="39" t="s">
        <v>129</v>
      </c>
      <c r="B35" s="39" t="s">
        <v>204</v>
      </c>
      <c r="C35" s="40">
        <v>965477</v>
      </c>
      <c r="D35" s="40">
        <v>814405</v>
      </c>
      <c r="E35" s="40">
        <v>678967</v>
      </c>
      <c r="F35" s="40">
        <v>298901</v>
      </c>
      <c r="G35" s="40">
        <v>246275</v>
      </c>
      <c r="H35" s="40">
        <v>84249</v>
      </c>
      <c r="I35" s="40">
        <v>56944</v>
      </c>
      <c r="J35" s="40">
        <v>75596</v>
      </c>
      <c r="K35" s="40">
        <v>3220814</v>
      </c>
    </row>
    <row r="36" spans="1:11" x14ac:dyDescent="0.25">
      <c r="A36" s="39" t="s">
        <v>129</v>
      </c>
      <c r="B36" s="39" t="s">
        <v>205</v>
      </c>
      <c r="C36" s="40">
        <v>1277210</v>
      </c>
      <c r="D36" s="40">
        <v>1040341</v>
      </c>
      <c r="E36" s="40">
        <v>880370</v>
      </c>
      <c r="F36" s="40">
        <v>368546</v>
      </c>
      <c r="G36" s="40">
        <v>342714</v>
      </c>
      <c r="H36" s="40">
        <v>116033</v>
      </c>
      <c r="I36" s="40">
        <v>75746</v>
      </c>
      <c r="J36" s="40">
        <v>63529</v>
      </c>
      <c r="K36" s="40">
        <v>4164489</v>
      </c>
    </row>
    <row r="37" spans="1:11" x14ac:dyDescent="0.25">
      <c r="A37" s="39" t="s">
        <v>129</v>
      </c>
      <c r="B37" s="39" t="s">
        <v>206</v>
      </c>
      <c r="C37" s="40">
        <v>1555661</v>
      </c>
      <c r="D37" s="40">
        <v>1183210</v>
      </c>
      <c r="E37" s="40">
        <v>963233</v>
      </c>
      <c r="F37" s="40">
        <v>401439</v>
      </c>
      <c r="G37" s="40">
        <v>421432</v>
      </c>
      <c r="H37" s="40">
        <v>130690</v>
      </c>
      <c r="I37" s="40">
        <v>91910</v>
      </c>
      <c r="J37" s="40">
        <v>45824</v>
      </c>
      <c r="K37" s="40">
        <v>4793399</v>
      </c>
    </row>
    <row r="38" spans="1:11" x14ac:dyDescent="0.25">
      <c r="A38" s="39" t="s">
        <v>129</v>
      </c>
      <c r="B38" s="39" t="s">
        <v>217</v>
      </c>
      <c r="C38" s="40">
        <v>622788</v>
      </c>
      <c r="D38" s="40">
        <v>445467</v>
      </c>
      <c r="E38" s="40">
        <v>324887</v>
      </c>
      <c r="F38" s="40">
        <v>157143</v>
      </c>
      <c r="G38" s="40">
        <v>176779</v>
      </c>
      <c r="H38" s="40">
        <v>45141</v>
      </c>
      <c r="I38" s="40">
        <v>32612</v>
      </c>
      <c r="J38" s="40">
        <v>11717</v>
      </c>
      <c r="K38" s="40">
        <v>1816534</v>
      </c>
    </row>
    <row r="39" spans="1:11" x14ac:dyDescent="0.25">
      <c r="A39" s="39" t="s">
        <v>129</v>
      </c>
      <c r="B39" s="39" t="s">
        <v>218</v>
      </c>
      <c r="C39" s="40">
        <v>331953</v>
      </c>
      <c r="D39" s="40">
        <v>227233</v>
      </c>
      <c r="E39" s="40">
        <v>156559</v>
      </c>
      <c r="F39" s="40">
        <v>86605</v>
      </c>
      <c r="G39" s="40">
        <v>95381</v>
      </c>
      <c r="H39" s="40">
        <v>23528</v>
      </c>
      <c r="I39" s="40">
        <v>18768</v>
      </c>
      <c r="J39" s="40">
        <v>5881</v>
      </c>
      <c r="K39" s="40">
        <v>945908</v>
      </c>
    </row>
    <row r="40" spans="1:11" x14ac:dyDescent="0.25">
      <c r="A40" s="39" t="s">
        <v>129</v>
      </c>
      <c r="B40" s="39" t="s">
        <v>150</v>
      </c>
      <c r="C40" s="40">
        <v>114200</v>
      </c>
      <c r="D40" s="40">
        <v>70254</v>
      </c>
      <c r="E40" s="40">
        <v>48593</v>
      </c>
      <c r="F40" s="40">
        <v>27373</v>
      </c>
      <c r="G40" s="40">
        <v>36201</v>
      </c>
      <c r="H40" s="40">
        <v>5730</v>
      </c>
      <c r="I40" s="40">
        <v>5277</v>
      </c>
      <c r="J40" s="40">
        <v>1982</v>
      </c>
      <c r="K40" s="40">
        <v>309610</v>
      </c>
    </row>
    <row r="41" spans="1:11" x14ac:dyDescent="0.25">
      <c r="A41" s="53" t="s">
        <v>129</v>
      </c>
      <c r="B41" s="53" t="s">
        <v>151</v>
      </c>
      <c r="C41" s="54">
        <v>7380403</v>
      </c>
      <c r="D41" s="54">
        <v>5984800</v>
      </c>
      <c r="E41" s="54">
        <v>5008151</v>
      </c>
      <c r="F41" s="54">
        <v>2229827</v>
      </c>
      <c r="G41" s="54">
        <v>1881394</v>
      </c>
      <c r="H41" s="54">
        <v>591716</v>
      </c>
      <c r="I41" s="54">
        <v>476220</v>
      </c>
      <c r="J41" s="54">
        <v>403828</v>
      </c>
      <c r="K41" s="54">
        <v>23956339</v>
      </c>
    </row>
    <row r="42" spans="1:11" x14ac:dyDescent="0.25">
      <c r="A42" s="45"/>
      <c r="B42" s="36"/>
      <c r="C42" s="36"/>
      <c r="D42" s="36"/>
      <c r="E42" s="36"/>
      <c r="F42" s="36"/>
      <c r="G42" s="36"/>
      <c r="H42" s="36"/>
      <c r="I42" s="36"/>
      <c r="J42" s="36"/>
      <c r="K42" s="36"/>
    </row>
    <row r="43" spans="1:11" x14ac:dyDescent="0.25">
      <c r="A43" s="36" t="s">
        <v>153</v>
      </c>
      <c r="B43" s="36"/>
      <c r="C43" s="36"/>
      <c r="D43" s="36"/>
      <c r="E43" s="36"/>
      <c r="F43" s="36"/>
      <c r="G43" s="36"/>
      <c r="H43" s="36"/>
      <c r="I43" s="36"/>
      <c r="J43" s="36"/>
      <c r="K43" s="36"/>
    </row>
    <row r="44" spans="1:11" x14ac:dyDescent="0.25">
      <c r="A44" s="46" t="s">
        <v>123</v>
      </c>
      <c r="B44" s="36"/>
      <c r="C44" s="36"/>
      <c r="D44" s="36"/>
      <c r="E44" s="36"/>
      <c r="F44" s="36"/>
      <c r="G44" s="36"/>
      <c r="H44" s="36"/>
      <c r="I44" s="36"/>
      <c r="J44" s="36"/>
      <c r="K44" s="36"/>
    </row>
    <row r="45" spans="1:11" x14ac:dyDescent="0.25">
      <c r="A45" s="36"/>
      <c r="B45" s="36"/>
      <c r="C45" s="36"/>
      <c r="D45" s="36"/>
      <c r="E45" s="36"/>
      <c r="F45" s="36"/>
      <c r="G45" s="36"/>
      <c r="H45" s="36"/>
      <c r="I45" s="36"/>
      <c r="J45" s="36"/>
      <c r="K45" s="36"/>
    </row>
    <row r="46" spans="1:11" x14ac:dyDescent="0.25">
      <c r="A46" s="46" t="s">
        <v>154</v>
      </c>
      <c r="B46" s="36"/>
      <c r="C46" s="36"/>
      <c r="D46" s="36"/>
      <c r="E46" s="36"/>
      <c r="F46" s="36"/>
      <c r="G46" s="36"/>
      <c r="H46" s="36"/>
      <c r="I46" s="36"/>
      <c r="J46" s="36"/>
      <c r="K46" s="36"/>
    </row>
    <row r="47" spans="1:11" x14ac:dyDescent="0.25">
      <c r="A47" s="36"/>
      <c r="B47" s="36"/>
      <c r="C47" s="36"/>
      <c r="D47" s="36"/>
      <c r="E47" s="36"/>
      <c r="F47" s="36"/>
      <c r="G47" s="36"/>
      <c r="H47" s="36"/>
      <c r="I47" s="36"/>
      <c r="J47" s="36"/>
      <c r="K47" s="36"/>
    </row>
    <row r="48" spans="1:11" x14ac:dyDescent="0.25">
      <c r="A48" s="46" t="s">
        <v>155</v>
      </c>
      <c r="B48" s="36"/>
      <c r="C48" s="36"/>
      <c r="D48" s="36"/>
      <c r="E48" s="36"/>
      <c r="F48" s="36"/>
      <c r="G48" s="36"/>
      <c r="H48" s="36"/>
      <c r="I48" s="36"/>
      <c r="J48" s="36"/>
      <c r="K48" s="36"/>
    </row>
  </sheetData>
  <mergeCells count="1">
    <mergeCell ref="A1:K1"/>
  </mergeCells>
  <hyperlinks>
    <hyperlink ref="A44" r:id="rId1" xr:uid="{00000000-0004-0000-0B00-000000000000}"/>
    <hyperlink ref="A46" location="'Technical specifications'!A1" display="Technical specifications" xr:uid="{00000000-0004-0000-0B00-000001000000}"/>
    <hyperlink ref="A48" location="Contents!A1" display="Back to contents" xr:uid="{00000000-0004-0000-0B00-000002000000}"/>
  </hyperlinks>
  <pageMargins left="0.75" right="0.75" top="1" bottom="1" header="0.5" footer="0.5"/>
  <ignoredErrors>
    <ignoredError sqref="B4 B17 B30" twoDigitTextYea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8"/>
  <sheetViews>
    <sheetView workbookViewId="0">
      <selection sqref="A1:K1"/>
    </sheetView>
  </sheetViews>
  <sheetFormatPr defaultRowHeight="15" x14ac:dyDescent="0.25"/>
  <cols>
    <col min="1" max="1" width="8.42578125" customWidth="1"/>
    <col min="2" max="2" width="17" customWidth="1"/>
    <col min="3" max="11" width="10" customWidth="1"/>
  </cols>
  <sheetData>
    <row r="1" spans="1:11" ht="33.75" customHeight="1" x14ac:dyDescent="0.25">
      <c r="A1" s="73" t="s">
        <v>12</v>
      </c>
      <c r="B1" s="74"/>
      <c r="C1" s="74"/>
      <c r="D1" s="74"/>
      <c r="E1" s="74"/>
      <c r="F1" s="74"/>
      <c r="G1" s="74"/>
      <c r="H1" s="74"/>
      <c r="I1" s="74"/>
      <c r="J1" s="74"/>
      <c r="K1" s="74"/>
    </row>
    <row r="2" spans="1:11" x14ac:dyDescent="0.25">
      <c r="A2" s="37" t="s">
        <v>178</v>
      </c>
      <c r="B2" s="37" t="s">
        <v>125</v>
      </c>
      <c r="C2" s="38" t="s">
        <v>208</v>
      </c>
      <c r="D2" s="38" t="s">
        <v>209</v>
      </c>
      <c r="E2" s="38" t="s">
        <v>210</v>
      </c>
      <c r="F2" s="38" t="s">
        <v>211</v>
      </c>
      <c r="G2" s="38" t="s">
        <v>212</v>
      </c>
      <c r="H2" s="64" t="s">
        <v>213</v>
      </c>
      <c r="I2" s="64" t="s">
        <v>214</v>
      </c>
      <c r="J2" s="64" t="s">
        <v>215</v>
      </c>
      <c r="K2" s="38" t="s">
        <v>151</v>
      </c>
    </row>
    <row r="3" spans="1:11" x14ac:dyDescent="0.25">
      <c r="A3" s="39" t="s">
        <v>127</v>
      </c>
      <c r="B3" s="39" t="s">
        <v>216</v>
      </c>
      <c r="C3" s="40">
        <v>12175</v>
      </c>
      <c r="D3" s="40">
        <v>8434</v>
      </c>
      <c r="E3" s="40">
        <v>7908</v>
      </c>
      <c r="F3" s="40">
        <v>4642</v>
      </c>
      <c r="G3" s="40">
        <v>2361</v>
      </c>
      <c r="H3" s="65" t="s">
        <v>238</v>
      </c>
      <c r="I3" s="65" t="s">
        <v>187</v>
      </c>
      <c r="J3" s="65" t="s">
        <v>238</v>
      </c>
      <c r="K3" s="40">
        <v>36007</v>
      </c>
    </row>
    <row r="4" spans="1:11" x14ac:dyDescent="0.25">
      <c r="A4" s="39" t="s">
        <v>127</v>
      </c>
      <c r="B4" s="39" t="s">
        <v>199</v>
      </c>
      <c r="C4" s="40">
        <v>14449</v>
      </c>
      <c r="D4" s="40">
        <v>9878</v>
      </c>
      <c r="E4" s="40">
        <v>10697</v>
      </c>
      <c r="F4" s="40">
        <v>6265</v>
      </c>
      <c r="G4" s="40">
        <v>2871</v>
      </c>
      <c r="H4" s="65" t="s">
        <v>238</v>
      </c>
      <c r="I4" s="65" t="s">
        <v>187</v>
      </c>
      <c r="J4" s="65" t="s">
        <v>238</v>
      </c>
      <c r="K4" s="40">
        <v>44888</v>
      </c>
    </row>
    <row r="5" spans="1:11" x14ac:dyDescent="0.25">
      <c r="A5" s="39" t="s">
        <v>127</v>
      </c>
      <c r="B5" s="39" t="s">
        <v>200</v>
      </c>
      <c r="C5" s="40">
        <v>24199</v>
      </c>
      <c r="D5" s="40">
        <v>21036</v>
      </c>
      <c r="E5" s="40">
        <v>19751</v>
      </c>
      <c r="F5" s="40">
        <v>9207</v>
      </c>
      <c r="G5" s="40">
        <v>5460</v>
      </c>
      <c r="H5" s="65" t="s">
        <v>238</v>
      </c>
      <c r="I5" s="65" t="s">
        <v>187</v>
      </c>
      <c r="J5" s="65" t="s">
        <v>238</v>
      </c>
      <c r="K5" s="40">
        <v>81323</v>
      </c>
    </row>
    <row r="6" spans="1:11" x14ac:dyDescent="0.25">
      <c r="A6" s="39" t="s">
        <v>127</v>
      </c>
      <c r="B6" s="39" t="s">
        <v>201</v>
      </c>
      <c r="C6" s="40">
        <v>30716</v>
      </c>
      <c r="D6" s="40">
        <v>24232</v>
      </c>
      <c r="E6" s="40">
        <v>24508</v>
      </c>
      <c r="F6" s="40">
        <v>11546</v>
      </c>
      <c r="G6" s="40">
        <v>6352</v>
      </c>
      <c r="H6" s="65" t="s">
        <v>238</v>
      </c>
      <c r="I6" s="65" t="s">
        <v>187</v>
      </c>
      <c r="J6" s="65" t="s">
        <v>238</v>
      </c>
      <c r="K6" s="40">
        <v>99551</v>
      </c>
    </row>
    <row r="7" spans="1:11" x14ac:dyDescent="0.25">
      <c r="A7" s="39" t="s">
        <v>127</v>
      </c>
      <c r="B7" s="39" t="s">
        <v>202</v>
      </c>
      <c r="C7" s="40">
        <v>50391</v>
      </c>
      <c r="D7" s="40">
        <v>37965</v>
      </c>
      <c r="E7" s="40">
        <v>41530</v>
      </c>
      <c r="F7" s="40">
        <v>23504</v>
      </c>
      <c r="G7" s="40">
        <v>10131</v>
      </c>
      <c r="H7" s="65" t="s">
        <v>238</v>
      </c>
      <c r="I7" s="65" t="s">
        <v>187</v>
      </c>
      <c r="J7" s="65" t="s">
        <v>238</v>
      </c>
      <c r="K7" s="40">
        <v>167034</v>
      </c>
    </row>
    <row r="8" spans="1:11" x14ac:dyDescent="0.25">
      <c r="A8" s="39" t="s">
        <v>127</v>
      </c>
      <c r="B8" s="39" t="s">
        <v>203</v>
      </c>
      <c r="C8" s="40">
        <v>74425</v>
      </c>
      <c r="D8" s="40">
        <v>52761</v>
      </c>
      <c r="E8" s="40">
        <v>62714</v>
      </c>
      <c r="F8" s="40">
        <v>33162</v>
      </c>
      <c r="G8" s="40">
        <v>14914</v>
      </c>
      <c r="H8" s="65" t="s">
        <v>238</v>
      </c>
      <c r="I8" s="65" t="s">
        <v>187</v>
      </c>
      <c r="J8" s="65" t="s">
        <v>238</v>
      </c>
      <c r="K8" s="40">
        <v>243208</v>
      </c>
    </row>
    <row r="9" spans="1:11" x14ac:dyDescent="0.25">
      <c r="A9" s="39" t="s">
        <v>127</v>
      </c>
      <c r="B9" s="39" t="s">
        <v>204</v>
      </c>
      <c r="C9" s="40">
        <v>120102</v>
      </c>
      <c r="D9" s="40">
        <v>81341</v>
      </c>
      <c r="E9" s="40">
        <v>100810</v>
      </c>
      <c r="F9" s="40">
        <v>51871</v>
      </c>
      <c r="G9" s="40">
        <v>26346</v>
      </c>
      <c r="H9" s="65" t="s">
        <v>238</v>
      </c>
      <c r="I9" s="65" t="s">
        <v>187</v>
      </c>
      <c r="J9" s="65" t="s">
        <v>238</v>
      </c>
      <c r="K9" s="40">
        <v>390147</v>
      </c>
    </row>
    <row r="10" spans="1:11" x14ac:dyDescent="0.25">
      <c r="A10" s="39" t="s">
        <v>127</v>
      </c>
      <c r="B10" s="39" t="s">
        <v>205</v>
      </c>
      <c r="C10" s="40">
        <v>176665</v>
      </c>
      <c r="D10" s="40">
        <v>119080</v>
      </c>
      <c r="E10" s="40">
        <v>152438</v>
      </c>
      <c r="F10" s="40">
        <v>67146</v>
      </c>
      <c r="G10" s="40">
        <v>45107</v>
      </c>
      <c r="H10" s="65" t="s">
        <v>238</v>
      </c>
      <c r="I10" s="65" t="s">
        <v>187</v>
      </c>
      <c r="J10" s="65" t="s">
        <v>238</v>
      </c>
      <c r="K10" s="40">
        <v>576251</v>
      </c>
    </row>
    <row r="11" spans="1:11" x14ac:dyDescent="0.25">
      <c r="A11" s="39" t="s">
        <v>127</v>
      </c>
      <c r="B11" s="39" t="s">
        <v>206</v>
      </c>
      <c r="C11" s="40">
        <v>169788</v>
      </c>
      <c r="D11" s="40">
        <v>116261</v>
      </c>
      <c r="E11" s="40">
        <v>157662</v>
      </c>
      <c r="F11" s="40">
        <v>59672</v>
      </c>
      <c r="G11" s="40">
        <v>45911</v>
      </c>
      <c r="H11" s="65" t="s">
        <v>238</v>
      </c>
      <c r="I11" s="65" t="s">
        <v>187</v>
      </c>
      <c r="J11" s="65" t="s">
        <v>238</v>
      </c>
      <c r="K11" s="40">
        <v>563675</v>
      </c>
    </row>
    <row r="12" spans="1:11" x14ac:dyDescent="0.25">
      <c r="A12" s="39" t="s">
        <v>127</v>
      </c>
      <c r="B12" s="39" t="s">
        <v>217</v>
      </c>
      <c r="C12" s="40">
        <v>33748</v>
      </c>
      <c r="D12" s="40">
        <v>24742</v>
      </c>
      <c r="E12" s="40">
        <v>31252</v>
      </c>
      <c r="F12" s="40">
        <v>12564</v>
      </c>
      <c r="G12" s="40">
        <v>8988</v>
      </c>
      <c r="H12" s="65" t="s">
        <v>238</v>
      </c>
      <c r="I12" s="65" t="s">
        <v>187</v>
      </c>
      <c r="J12" s="65" t="s">
        <v>238</v>
      </c>
      <c r="K12" s="40">
        <v>113742</v>
      </c>
    </row>
    <row r="13" spans="1:11" x14ac:dyDescent="0.25">
      <c r="A13" s="39" t="s">
        <v>127</v>
      </c>
      <c r="B13" s="39" t="s">
        <v>218</v>
      </c>
      <c r="C13" s="40">
        <v>10182</v>
      </c>
      <c r="D13" s="40">
        <v>8180</v>
      </c>
      <c r="E13" s="40">
        <v>9463</v>
      </c>
      <c r="F13" s="40">
        <v>3560</v>
      </c>
      <c r="G13" s="40">
        <v>2540</v>
      </c>
      <c r="H13" s="65" t="s">
        <v>238</v>
      </c>
      <c r="I13" s="65" t="s">
        <v>187</v>
      </c>
      <c r="J13" s="65" t="s">
        <v>238</v>
      </c>
      <c r="K13" s="40">
        <v>34737</v>
      </c>
    </row>
    <row r="14" spans="1:11" x14ac:dyDescent="0.25">
      <c r="A14" s="39" t="s">
        <v>127</v>
      </c>
      <c r="B14" s="39" t="s">
        <v>150</v>
      </c>
      <c r="C14" s="40">
        <v>2307</v>
      </c>
      <c r="D14" s="40">
        <v>2129</v>
      </c>
      <c r="E14" s="40">
        <v>1840</v>
      </c>
      <c r="F14" s="40">
        <v>786</v>
      </c>
      <c r="G14" s="40">
        <v>523</v>
      </c>
      <c r="H14" s="65" t="s">
        <v>238</v>
      </c>
      <c r="I14" s="65" t="s">
        <v>187</v>
      </c>
      <c r="J14" s="65" t="s">
        <v>238</v>
      </c>
      <c r="K14" s="40">
        <v>7737</v>
      </c>
    </row>
    <row r="15" spans="1:11" x14ac:dyDescent="0.25">
      <c r="A15" s="47" t="s">
        <v>127</v>
      </c>
      <c r="B15" s="47" t="s">
        <v>151</v>
      </c>
      <c r="C15" s="48">
        <v>719147</v>
      </c>
      <c r="D15" s="48">
        <v>506039</v>
      </c>
      <c r="E15" s="48">
        <v>620573</v>
      </c>
      <c r="F15" s="48">
        <v>283925</v>
      </c>
      <c r="G15" s="48">
        <v>171504</v>
      </c>
      <c r="H15" s="66" t="s">
        <v>238</v>
      </c>
      <c r="I15" s="66" t="s">
        <v>187</v>
      </c>
      <c r="J15" s="66" t="s">
        <v>238</v>
      </c>
      <c r="K15" s="48">
        <v>2358300</v>
      </c>
    </row>
    <row r="16" spans="1:11" x14ac:dyDescent="0.25">
      <c r="A16" s="39" t="s">
        <v>128</v>
      </c>
      <c r="B16" s="39" t="s">
        <v>216</v>
      </c>
      <c r="C16" s="40">
        <v>8273</v>
      </c>
      <c r="D16" s="40">
        <v>5745</v>
      </c>
      <c r="E16" s="40">
        <v>5415</v>
      </c>
      <c r="F16" s="40">
        <v>3084</v>
      </c>
      <c r="G16" s="40">
        <v>1540</v>
      </c>
      <c r="H16" s="65" t="s">
        <v>238</v>
      </c>
      <c r="I16" s="65" t="s">
        <v>187</v>
      </c>
      <c r="J16" s="65" t="s">
        <v>238</v>
      </c>
      <c r="K16" s="40">
        <v>24401</v>
      </c>
    </row>
    <row r="17" spans="1:11" x14ac:dyDescent="0.25">
      <c r="A17" s="39" t="s">
        <v>128</v>
      </c>
      <c r="B17" s="39" t="s">
        <v>199</v>
      </c>
      <c r="C17" s="40">
        <v>11642</v>
      </c>
      <c r="D17" s="40">
        <v>8649</v>
      </c>
      <c r="E17" s="40">
        <v>9385</v>
      </c>
      <c r="F17" s="40">
        <v>5789</v>
      </c>
      <c r="G17" s="40">
        <v>2480</v>
      </c>
      <c r="H17" s="65" t="s">
        <v>238</v>
      </c>
      <c r="I17" s="65" t="s">
        <v>187</v>
      </c>
      <c r="J17" s="65" t="s">
        <v>238</v>
      </c>
      <c r="K17" s="40">
        <v>38594</v>
      </c>
    </row>
    <row r="18" spans="1:11" x14ac:dyDescent="0.25">
      <c r="A18" s="39" t="s">
        <v>128</v>
      </c>
      <c r="B18" s="39" t="s">
        <v>200</v>
      </c>
      <c r="C18" s="40">
        <v>35691</v>
      </c>
      <c r="D18" s="40">
        <v>29891</v>
      </c>
      <c r="E18" s="40">
        <v>32731</v>
      </c>
      <c r="F18" s="40">
        <v>15586</v>
      </c>
      <c r="G18" s="40">
        <v>7211</v>
      </c>
      <c r="H18" s="65" t="s">
        <v>238</v>
      </c>
      <c r="I18" s="65" t="s">
        <v>187</v>
      </c>
      <c r="J18" s="65" t="s">
        <v>238</v>
      </c>
      <c r="K18" s="40">
        <v>123741</v>
      </c>
    </row>
    <row r="19" spans="1:11" x14ac:dyDescent="0.25">
      <c r="A19" s="39" t="s">
        <v>128</v>
      </c>
      <c r="B19" s="39" t="s">
        <v>201</v>
      </c>
      <c r="C19" s="40">
        <v>70170</v>
      </c>
      <c r="D19" s="40">
        <v>60000</v>
      </c>
      <c r="E19" s="40">
        <v>59776</v>
      </c>
      <c r="F19" s="40">
        <v>25237</v>
      </c>
      <c r="G19" s="40">
        <v>15198</v>
      </c>
      <c r="H19" s="65" t="s">
        <v>238</v>
      </c>
      <c r="I19" s="65" t="s">
        <v>187</v>
      </c>
      <c r="J19" s="65" t="s">
        <v>238</v>
      </c>
      <c r="K19" s="40">
        <v>236061</v>
      </c>
    </row>
    <row r="20" spans="1:11" x14ac:dyDescent="0.25">
      <c r="A20" s="39" t="s">
        <v>128</v>
      </c>
      <c r="B20" s="39" t="s">
        <v>202</v>
      </c>
      <c r="C20" s="40">
        <v>98294</v>
      </c>
      <c r="D20" s="40">
        <v>83134</v>
      </c>
      <c r="E20" s="40">
        <v>83061</v>
      </c>
      <c r="F20" s="40">
        <v>36629</v>
      </c>
      <c r="G20" s="40">
        <v>21113</v>
      </c>
      <c r="H20" s="65" t="s">
        <v>238</v>
      </c>
      <c r="I20" s="65" t="s">
        <v>187</v>
      </c>
      <c r="J20" s="65" t="s">
        <v>238</v>
      </c>
      <c r="K20" s="40">
        <v>329548</v>
      </c>
    </row>
    <row r="21" spans="1:11" x14ac:dyDescent="0.25">
      <c r="A21" s="39" t="s">
        <v>128</v>
      </c>
      <c r="B21" s="39" t="s">
        <v>203</v>
      </c>
      <c r="C21" s="40">
        <v>96627</v>
      </c>
      <c r="D21" s="40">
        <v>75887</v>
      </c>
      <c r="E21" s="40">
        <v>88199</v>
      </c>
      <c r="F21" s="40">
        <v>42156</v>
      </c>
      <c r="G21" s="40">
        <v>20528</v>
      </c>
      <c r="H21" s="65" t="s">
        <v>238</v>
      </c>
      <c r="I21" s="65" t="s">
        <v>187</v>
      </c>
      <c r="J21" s="65" t="s">
        <v>238</v>
      </c>
      <c r="K21" s="40">
        <v>331118</v>
      </c>
    </row>
    <row r="22" spans="1:11" x14ac:dyDescent="0.25">
      <c r="A22" s="39" t="s">
        <v>128</v>
      </c>
      <c r="B22" s="39" t="s">
        <v>204</v>
      </c>
      <c r="C22" s="40">
        <v>128945</v>
      </c>
      <c r="D22" s="40">
        <v>96261</v>
      </c>
      <c r="E22" s="40">
        <v>110577</v>
      </c>
      <c r="F22" s="40">
        <v>52712</v>
      </c>
      <c r="G22" s="40">
        <v>31831</v>
      </c>
      <c r="H22" s="65" t="s">
        <v>238</v>
      </c>
      <c r="I22" s="65" t="s">
        <v>187</v>
      </c>
      <c r="J22" s="65" t="s">
        <v>238</v>
      </c>
      <c r="K22" s="40">
        <v>431649</v>
      </c>
    </row>
    <row r="23" spans="1:11" x14ac:dyDescent="0.25">
      <c r="A23" s="39" t="s">
        <v>128</v>
      </c>
      <c r="B23" s="39" t="s">
        <v>205</v>
      </c>
      <c r="C23" s="40">
        <v>182917</v>
      </c>
      <c r="D23" s="40">
        <v>120352</v>
      </c>
      <c r="E23" s="40">
        <v>149188</v>
      </c>
      <c r="F23" s="40">
        <v>61518</v>
      </c>
      <c r="G23" s="40">
        <v>46758</v>
      </c>
      <c r="H23" s="65" t="s">
        <v>238</v>
      </c>
      <c r="I23" s="65" t="s">
        <v>187</v>
      </c>
      <c r="J23" s="65" t="s">
        <v>238</v>
      </c>
      <c r="K23" s="40">
        <v>576187</v>
      </c>
    </row>
    <row r="24" spans="1:11" x14ac:dyDescent="0.25">
      <c r="A24" s="39" t="s">
        <v>128</v>
      </c>
      <c r="B24" s="39" t="s">
        <v>206</v>
      </c>
      <c r="C24" s="40">
        <v>163784</v>
      </c>
      <c r="D24" s="40">
        <v>105314</v>
      </c>
      <c r="E24" s="40">
        <v>131989</v>
      </c>
      <c r="F24" s="40">
        <v>47935</v>
      </c>
      <c r="G24" s="40">
        <v>40215</v>
      </c>
      <c r="H24" s="65" t="s">
        <v>238</v>
      </c>
      <c r="I24" s="65" t="s">
        <v>187</v>
      </c>
      <c r="J24" s="65" t="s">
        <v>238</v>
      </c>
      <c r="K24" s="40">
        <v>502427</v>
      </c>
    </row>
    <row r="25" spans="1:11" x14ac:dyDescent="0.25">
      <c r="A25" s="39" t="s">
        <v>128</v>
      </c>
      <c r="B25" s="39" t="s">
        <v>217</v>
      </c>
      <c r="C25" s="40">
        <v>32729</v>
      </c>
      <c r="D25" s="40">
        <v>24597</v>
      </c>
      <c r="E25" s="40">
        <v>27021</v>
      </c>
      <c r="F25" s="40">
        <v>10330</v>
      </c>
      <c r="G25" s="40">
        <v>8736</v>
      </c>
      <c r="H25" s="65" t="s">
        <v>238</v>
      </c>
      <c r="I25" s="65" t="s">
        <v>187</v>
      </c>
      <c r="J25" s="65" t="s">
        <v>238</v>
      </c>
      <c r="K25" s="40">
        <v>106192</v>
      </c>
    </row>
    <row r="26" spans="1:11" x14ac:dyDescent="0.25">
      <c r="A26" s="39" t="s">
        <v>128</v>
      </c>
      <c r="B26" s="39" t="s">
        <v>218</v>
      </c>
      <c r="C26" s="40">
        <v>12583</v>
      </c>
      <c r="D26" s="40">
        <v>9481</v>
      </c>
      <c r="E26" s="40">
        <v>11456</v>
      </c>
      <c r="F26" s="40">
        <v>4211</v>
      </c>
      <c r="G26" s="40">
        <v>3236</v>
      </c>
      <c r="H26" s="65" t="s">
        <v>238</v>
      </c>
      <c r="I26" s="65" t="s">
        <v>187</v>
      </c>
      <c r="J26" s="65" t="s">
        <v>238</v>
      </c>
      <c r="K26" s="40">
        <v>42056</v>
      </c>
    </row>
    <row r="27" spans="1:11" x14ac:dyDescent="0.25">
      <c r="A27" s="39" t="s">
        <v>128</v>
      </c>
      <c r="B27" s="39" t="s">
        <v>150</v>
      </c>
      <c r="C27" s="40">
        <v>3545</v>
      </c>
      <c r="D27" s="40">
        <v>3533</v>
      </c>
      <c r="E27" s="40">
        <v>3404</v>
      </c>
      <c r="F27" s="40">
        <v>1047</v>
      </c>
      <c r="G27" s="40">
        <v>1186</v>
      </c>
      <c r="H27" s="65" t="s">
        <v>238</v>
      </c>
      <c r="I27" s="65" t="s">
        <v>187</v>
      </c>
      <c r="J27" s="65" t="s">
        <v>238</v>
      </c>
      <c r="K27" s="40">
        <v>13092</v>
      </c>
    </row>
    <row r="28" spans="1:11" x14ac:dyDescent="0.25">
      <c r="A28" s="47" t="s">
        <v>128</v>
      </c>
      <c r="B28" s="47" t="s">
        <v>151</v>
      </c>
      <c r="C28" s="48">
        <v>845200</v>
      </c>
      <c r="D28" s="48">
        <v>622844</v>
      </c>
      <c r="E28" s="48">
        <v>712202</v>
      </c>
      <c r="F28" s="48">
        <v>306234</v>
      </c>
      <c r="G28" s="48">
        <v>200033</v>
      </c>
      <c r="H28" s="66" t="s">
        <v>238</v>
      </c>
      <c r="I28" s="66" t="s">
        <v>187</v>
      </c>
      <c r="J28" s="66" t="s">
        <v>238</v>
      </c>
      <c r="K28" s="48">
        <v>2755067</v>
      </c>
    </row>
    <row r="29" spans="1:11" x14ac:dyDescent="0.25">
      <c r="A29" s="39" t="s">
        <v>129</v>
      </c>
      <c r="B29" s="39" t="s">
        <v>216</v>
      </c>
      <c r="C29" s="40">
        <v>20451</v>
      </c>
      <c r="D29" s="40">
        <v>14180</v>
      </c>
      <c r="E29" s="40">
        <v>13323</v>
      </c>
      <c r="F29" s="40">
        <v>7726</v>
      </c>
      <c r="G29" s="40">
        <v>3902</v>
      </c>
      <c r="H29" s="65" t="s">
        <v>238</v>
      </c>
      <c r="I29" s="65" t="s">
        <v>187</v>
      </c>
      <c r="J29" s="65" t="s">
        <v>238</v>
      </c>
      <c r="K29" s="40">
        <v>60413</v>
      </c>
    </row>
    <row r="30" spans="1:11" x14ac:dyDescent="0.25">
      <c r="A30" s="39" t="s">
        <v>129</v>
      </c>
      <c r="B30" s="39" t="s">
        <v>199</v>
      </c>
      <c r="C30" s="40">
        <v>26096</v>
      </c>
      <c r="D30" s="40">
        <v>18544</v>
      </c>
      <c r="E30" s="40">
        <v>20082</v>
      </c>
      <c r="F30" s="40">
        <v>12054</v>
      </c>
      <c r="G30" s="40">
        <v>5351</v>
      </c>
      <c r="H30" s="65" t="s">
        <v>238</v>
      </c>
      <c r="I30" s="65" t="s">
        <v>187</v>
      </c>
      <c r="J30" s="65" t="s">
        <v>238</v>
      </c>
      <c r="K30" s="40">
        <v>83504</v>
      </c>
    </row>
    <row r="31" spans="1:11" x14ac:dyDescent="0.25">
      <c r="A31" s="39" t="s">
        <v>129</v>
      </c>
      <c r="B31" s="39" t="s">
        <v>200</v>
      </c>
      <c r="C31" s="40">
        <v>59997</v>
      </c>
      <c r="D31" s="40">
        <v>51103</v>
      </c>
      <c r="E31" s="40">
        <v>52493</v>
      </c>
      <c r="F31" s="40">
        <v>24793</v>
      </c>
      <c r="G31" s="40">
        <v>12692</v>
      </c>
      <c r="H31" s="65" t="s">
        <v>238</v>
      </c>
      <c r="I31" s="65" t="s">
        <v>187</v>
      </c>
      <c r="J31" s="65" t="s">
        <v>238</v>
      </c>
      <c r="K31" s="40">
        <v>205384</v>
      </c>
    </row>
    <row r="32" spans="1:11" x14ac:dyDescent="0.25">
      <c r="A32" s="39" t="s">
        <v>129</v>
      </c>
      <c r="B32" s="39" t="s">
        <v>201</v>
      </c>
      <c r="C32" s="40">
        <v>100997</v>
      </c>
      <c r="D32" s="40">
        <v>84407</v>
      </c>
      <c r="E32" s="40">
        <v>84289</v>
      </c>
      <c r="F32" s="40">
        <v>36787</v>
      </c>
      <c r="G32" s="40">
        <v>21696</v>
      </c>
      <c r="H32" s="65" t="s">
        <v>238</v>
      </c>
      <c r="I32" s="65" t="s">
        <v>187</v>
      </c>
      <c r="J32" s="65" t="s">
        <v>238</v>
      </c>
      <c r="K32" s="40">
        <v>336054</v>
      </c>
    </row>
    <row r="33" spans="1:11" x14ac:dyDescent="0.25">
      <c r="A33" s="39" t="s">
        <v>129</v>
      </c>
      <c r="B33" s="39" t="s">
        <v>202</v>
      </c>
      <c r="C33" s="40">
        <v>148875</v>
      </c>
      <c r="D33" s="40">
        <v>121191</v>
      </c>
      <c r="E33" s="40">
        <v>124593</v>
      </c>
      <c r="F33" s="40">
        <v>60136</v>
      </c>
      <c r="G33" s="40">
        <v>31665</v>
      </c>
      <c r="H33" s="65" t="s">
        <v>238</v>
      </c>
      <c r="I33" s="65" t="s">
        <v>187</v>
      </c>
      <c r="J33" s="65" t="s">
        <v>238</v>
      </c>
      <c r="K33" s="40">
        <v>497298</v>
      </c>
    </row>
    <row r="34" spans="1:11" x14ac:dyDescent="0.25">
      <c r="A34" s="39" t="s">
        <v>129</v>
      </c>
      <c r="B34" s="39" t="s">
        <v>203</v>
      </c>
      <c r="C34" s="40">
        <v>171170</v>
      </c>
      <c r="D34" s="40">
        <v>128701</v>
      </c>
      <c r="E34" s="40">
        <v>150914</v>
      </c>
      <c r="F34" s="40">
        <v>75318</v>
      </c>
      <c r="G34" s="40">
        <v>36669</v>
      </c>
      <c r="H34" s="65" t="s">
        <v>238</v>
      </c>
      <c r="I34" s="65" t="s">
        <v>187</v>
      </c>
      <c r="J34" s="65" t="s">
        <v>238</v>
      </c>
      <c r="K34" s="40">
        <v>575746</v>
      </c>
    </row>
    <row r="35" spans="1:11" x14ac:dyDescent="0.25">
      <c r="A35" s="39" t="s">
        <v>129</v>
      </c>
      <c r="B35" s="39" t="s">
        <v>204</v>
      </c>
      <c r="C35" s="40">
        <v>249113</v>
      </c>
      <c r="D35" s="40">
        <v>177633</v>
      </c>
      <c r="E35" s="40">
        <v>211389</v>
      </c>
      <c r="F35" s="40">
        <v>104583</v>
      </c>
      <c r="G35" s="40">
        <v>60117</v>
      </c>
      <c r="H35" s="65" t="s">
        <v>238</v>
      </c>
      <c r="I35" s="65" t="s">
        <v>187</v>
      </c>
      <c r="J35" s="65" t="s">
        <v>238</v>
      </c>
      <c r="K35" s="40">
        <v>823837</v>
      </c>
    </row>
    <row r="36" spans="1:11" x14ac:dyDescent="0.25">
      <c r="A36" s="39" t="s">
        <v>129</v>
      </c>
      <c r="B36" s="39" t="s">
        <v>205</v>
      </c>
      <c r="C36" s="40">
        <v>359685</v>
      </c>
      <c r="D36" s="40">
        <v>239460</v>
      </c>
      <c r="E36" s="40">
        <v>301627</v>
      </c>
      <c r="F36" s="40">
        <v>128664</v>
      </c>
      <c r="G36" s="40">
        <v>95606</v>
      </c>
      <c r="H36" s="65" t="s">
        <v>238</v>
      </c>
      <c r="I36" s="65" t="s">
        <v>187</v>
      </c>
      <c r="J36" s="65" t="s">
        <v>238</v>
      </c>
      <c r="K36" s="40">
        <v>1156314</v>
      </c>
    </row>
    <row r="37" spans="1:11" x14ac:dyDescent="0.25">
      <c r="A37" s="39" t="s">
        <v>129</v>
      </c>
      <c r="B37" s="39" t="s">
        <v>206</v>
      </c>
      <c r="C37" s="40">
        <v>333601</v>
      </c>
      <c r="D37" s="40">
        <v>221582</v>
      </c>
      <c r="E37" s="40">
        <v>289651</v>
      </c>
      <c r="F37" s="40">
        <v>107607</v>
      </c>
      <c r="G37" s="40">
        <v>88754</v>
      </c>
      <c r="H37" s="65" t="s">
        <v>238</v>
      </c>
      <c r="I37" s="65" t="s">
        <v>187</v>
      </c>
      <c r="J37" s="65" t="s">
        <v>238</v>
      </c>
      <c r="K37" s="40">
        <v>1068767</v>
      </c>
    </row>
    <row r="38" spans="1:11" x14ac:dyDescent="0.25">
      <c r="A38" s="39" t="s">
        <v>129</v>
      </c>
      <c r="B38" s="39" t="s">
        <v>217</v>
      </c>
      <c r="C38" s="40">
        <v>66480</v>
      </c>
      <c r="D38" s="40">
        <v>49344</v>
      </c>
      <c r="E38" s="40">
        <v>58273</v>
      </c>
      <c r="F38" s="40">
        <v>22894</v>
      </c>
      <c r="G38" s="40">
        <v>17950</v>
      </c>
      <c r="H38" s="65" t="s">
        <v>238</v>
      </c>
      <c r="I38" s="65" t="s">
        <v>187</v>
      </c>
      <c r="J38" s="65" t="s">
        <v>238</v>
      </c>
      <c r="K38" s="40">
        <v>220168</v>
      </c>
    </row>
    <row r="39" spans="1:11" x14ac:dyDescent="0.25">
      <c r="A39" s="39" t="s">
        <v>129</v>
      </c>
      <c r="B39" s="39" t="s">
        <v>218</v>
      </c>
      <c r="C39" s="40">
        <v>22766</v>
      </c>
      <c r="D39" s="40">
        <v>17661</v>
      </c>
      <c r="E39" s="40">
        <v>20919</v>
      </c>
      <c r="F39" s="40">
        <v>7771</v>
      </c>
      <c r="G39" s="40">
        <v>5803</v>
      </c>
      <c r="H39" s="65" t="s">
        <v>238</v>
      </c>
      <c r="I39" s="65" t="s">
        <v>187</v>
      </c>
      <c r="J39" s="65" t="s">
        <v>238</v>
      </c>
      <c r="K39" s="40">
        <v>76821</v>
      </c>
    </row>
    <row r="40" spans="1:11" x14ac:dyDescent="0.25">
      <c r="A40" s="39" t="s">
        <v>129</v>
      </c>
      <c r="B40" s="39" t="s">
        <v>150</v>
      </c>
      <c r="C40" s="40">
        <v>5852</v>
      </c>
      <c r="D40" s="40">
        <v>5664</v>
      </c>
      <c r="E40" s="40">
        <v>5244</v>
      </c>
      <c r="F40" s="40">
        <v>1833</v>
      </c>
      <c r="G40" s="40">
        <v>1723</v>
      </c>
      <c r="H40" s="65" t="s">
        <v>238</v>
      </c>
      <c r="I40" s="65" t="s">
        <v>187</v>
      </c>
      <c r="J40" s="65" t="s">
        <v>238</v>
      </c>
      <c r="K40" s="40">
        <v>20845</v>
      </c>
    </row>
    <row r="41" spans="1:11" ht="15.75" thickBot="1" x14ac:dyDescent="0.3">
      <c r="A41" s="53" t="s">
        <v>129</v>
      </c>
      <c r="B41" s="53" t="s">
        <v>151</v>
      </c>
      <c r="C41" s="54">
        <v>1565083</v>
      </c>
      <c r="D41" s="54">
        <v>1129470</v>
      </c>
      <c r="E41" s="54">
        <v>1332797</v>
      </c>
      <c r="F41" s="54">
        <v>590166</v>
      </c>
      <c r="G41" s="54">
        <v>381929</v>
      </c>
      <c r="H41" s="67" t="s">
        <v>238</v>
      </c>
      <c r="I41" s="67" t="s">
        <v>187</v>
      </c>
      <c r="J41" s="67" t="s">
        <v>238</v>
      </c>
      <c r="K41" s="54">
        <v>5125152</v>
      </c>
    </row>
    <row r="42" spans="1:11" x14ac:dyDescent="0.25">
      <c r="A42" s="45"/>
      <c r="B42" s="36"/>
      <c r="C42" s="36"/>
      <c r="D42" s="36"/>
      <c r="E42" s="36"/>
      <c r="F42" s="36"/>
      <c r="G42" s="36"/>
      <c r="H42" s="36"/>
      <c r="I42" s="36"/>
      <c r="J42" s="36"/>
      <c r="K42" s="36"/>
    </row>
    <row r="43" spans="1:11" x14ac:dyDescent="0.25">
      <c r="A43" s="36" t="s">
        <v>153</v>
      </c>
      <c r="B43" s="36"/>
      <c r="C43" s="36"/>
      <c r="D43" s="36"/>
      <c r="E43" s="36"/>
      <c r="F43" s="36"/>
      <c r="G43" s="36"/>
      <c r="H43" s="36"/>
      <c r="I43" s="36"/>
      <c r="J43" s="36"/>
      <c r="K43" s="36"/>
    </row>
    <row r="44" spans="1:11" x14ac:dyDescent="0.25">
      <c r="A44" s="46" t="s">
        <v>123</v>
      </c>
      <c r="B44" s="36"/>
      <c r="C44" s="36"/>
      <c r="D44" s="36"/>
      <c r="E44" s="36"/>
      <c r="F44" s="36"/>
      <c r="G44" s="36"/>
      <c r="H44" s="36"/>
      <c r="I44" s="36"/>
      <c r="J44" s="36"/>
      <c r="K44" s="36"/>
    </row>
    <row r="45" spans="1:11" x14ac:dyDescent="0.25">
      <c r="A45" s="36"/>
      <c r="B45" s="36"/>
      <c r="C45" s="36"/>
      <c r="D45" s="36"/>
      <c r="E45" s="36"/>
      <c r="F45" s="36"/>
      <c r="G45" s="36"/>
      <c r="H45" s="36"/>
      <c r="I45" s="36"/>
      <c r="J45" s="36"/>
      <c r="K45" s="36"/>
    </row>
    <row r="46" spans="1:11" x14ac:dyDescent="0.25">
      <c r="A46" s="46" t="s">
        <v>154</v>
      </c>
      <c r="B46" s="36"/>
      <c r="C46" s="36"/>
      <c r="D46" s="36"/>
      <c r="E46" s="36"/>
      <c r="F46" s="36"/>
      <c r="G46" s="36"/>
      <c r="H46" s="36"/>
      <c r="I46" s="36"/>
      <c r="J46" s="36"/>
      <c r="K46" s="36"/>
    </row>
    <row r="47" spans="1:11" x14ac:dyDescent="0.25">
      <c r="A47" s="36"/>
      <c r="B47" s="36"/>
      <c r="C47" s="36"/>
      <c r="D47" s="36"/>
      <c r="E47" s="36"/>
      <c r="F47" s="36"/>
      <c r="G47" s="36"/>
      <c r="H47" s="36"/>
      <c r="I47" s="36"/>
      <c r="J47" s="36"/>
      <c r="K47" s="36"/>
    </row>
    <row r="48" spans="1:11" x14ac:dyDescent="0.25">
      <c r="A48" s="46" t="s">
        <v>155</v>
      </c>
      <c r="B48" s="36"/>
      <c r="C48" s="36"/>
      <c r="D48" s="36"/>
      <c r="E48" s="36"/>
      <c r="F48" s="36"/>
      <c r="G48" s="36"/>
      <c r="H48" s="36"/>
      <c r="I48" s="36"/>
      <c r="J48" s="36"/>
      <c r="K48" s="36"/>
    </row>
  </sheetData>
  <mergeCells count="1">
    <mergeCell ref="A1:K1"/>
  </mergeCells>
  <hyperlinks>
    <hyperlink ref="A44" r:id="rId1" xr:uid="{00000000-0004-0000-0C00-000000000000}"/>
    <hyperlink ref="A46" location="'Technical specifications'!A1" display="Technical specifications" xr:uid="{00000000-0004-0000-0C00-000001000000}"/>
    <hyperlink ref="A48" location="Contents!A1" display="Back to contents" xr:uid="{00000000-0004-0000-0C00-000002000000}"/>
  </hyperlinks>
  <pageMargins left="0.75" right="0.75" top="1" bottom="1" header="0.5" footer="0.5"/>
  <ignoredErrors>
    <ignoredError sqref="B4 B17 B30"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8"/>
  <sheetViews>
    <sheetView workbookViewId="0">
      <selection sqref="A1:K1"/>
    </sheetView>
  </sheetViews>
  <sheetFormatPr defaultRowHeight="15" x14ac:dyDescent="0.25"/>
  <cols>
    <col min="1" max="1" width="8.42578125" customWidth="1"/>
    <col min="2" max="2" width="17" customWidth="1"/>
    <col min="3" max="7" width="12" customWidth="1"/>
    <col min="8" max="10" width="10" customWidth="1"/>
    <col min="11" max="11" width="12" customWidth="1"/>
  </cols>
  <sheetData>
    <row r="1" spans="1:11" ht="33.75" customHeight="1" x14ac:dyDescent="0.25">
      <c r="A1" s="73" t="s">
        <v>13</v>
      </c>
      <c r="B1" s="74"/>
      <c r="C1" s="74"/>
      <c r="D1" s="74"/>
      <c r="E1" s="74"/>
      <c r="F1" s="74"/>
      <c r="G1" s="74"/>
      <c r="H1" s="74"/>
      <c r="I1" s="74"/>
      <c r="J1" s="74"/>
      <c r="K1" s="74"/>
    </row>
    <row r="2" spans="1:11" x14ac:dyDescent="0.25">
      <c r="A2" s="37" t="s">
        <v>178</v>
      </c>
      <c r="B2" s="37" t="s">
        <v>125</v>
      </c>
      <c r="C2" s="38" t="s">
        <v>208</v>
      </c>
      <c r="D2" s="38" t="s">
        <v>209</v>
      </c>
      <c r="E2" s="38" t="s">
        <v>210</v>
      </c>
      <c r="F2" s="38" t="s">
        <v>211</v>
      </c>
      <c r="G2" s="38" t="s">
        <v>212</v>
      </c>
      <c r="H2" s="64" t="s">
        <v>213</v>
      </c>
      <c r="I2" s="64" t="s">
        <v>214</v>
      </c>
      <c r="J2" s="64" t="s">
        <v>215</v>
      </c>
      <c r="K2" s="38" t="s">
        <v>151</v>
      </c>
    </row>
    <row r="3" spans="1:11" x14ac:dyDescent="0.25">
      <c r="A3" s="39" t="s">
        <v>127</v>
      </c>
      <c r="B3" s="39" t="s">
        <v>216</v>
      </c>
      <c r="C3" s="40">
        <v>21276</v>
      </c>
      <c r="D3" s="40">
        <v>20142</v>
      </c>
      <c r="E3" s="40">
        <v>18174</v>
      </c>
      <c r="F3" s="40">
        <v>7864</v>
      </c>
      <c r="G3" s="40">
        <v>3923</v>
      </c>
      <c r="H3" s="65" t="s">
        <v>238</v>
      </c>
      <c r="I3" s="65" t="s">
        <v>187</v>
      </c>
      <c r="J3" s="65" t="s">
        <v>238</v>
      </c>
      <c r="K3" s="40">
        <v>72150</v>
      </c>
    </row>
    <row r="4" spans="1:11" x14ac:dyDescent="0.25">
      <c r="A4" s="39" t="s">
        <v>127</v>
      </c>
      <c r="B4" s="39" t="s">
        <v>199</v>
      </c>
      <c r="C4" s="40">
        <v>14912</v>
      </c>
      <c r="D4" s="40">
        <v>10204</v>
      </c>
      <c r="E4" s="40">
        <v>11524</v>
      </c>
      <c r="F4" s="40">
        <v>6341</v>
      </c>
      <c r="G4" s="40">
        <v>2883</v>
      </c>
      <c r="H4" s="65" t="s">
        <v>238</v>
      </c>
      <c r="I4" s="65" t="s">
        <v>187</v>
      </c>
      <c r="J4" s="65" t="s">
        <v>238</v>
      </c>
      <c r="K4" s="40">
        <v>46603</v>
      </c>
    </row>
    <row r="5" spans="1:11" x14ac:dyDescent="0.25">
      <c r="A5" s="39" t="s">
        <v>127</v>
      </c>
      <c r="B5" s="39" t="s">
        <v>200</v>
      </c>
      <c r="C5" s="40">
        <v>41784</v>
      </c>
      <c r="D5" s="40">
        <v>31908</v>
      </c>
      <c r="E5" s="40">
        <v>31258</v>
      </c>
      <c r="F5" s="40">
        <v>12755</v>
      </c>
      <c r="G5" s="40">
        <v>6871</v>
      </c>
      <c r="H5" s="65" t="s">
        <v>238</v>
      </c>
      <c r="I5" s="65" t="s">
        <v>187</v>
      </c>
      <c r="J5" s="65" t="s">
        <v>238</v>
      </c>
      <c r="K5" s="40">
        <v>126764</v>
      </c>
    </row>
    <row r="6" spans="1:11" x14ac:dyDescent="0.25">
      <c r="A6" s="39" t="s">
        <v>127</v>
      </c>
      <c r="B6" s="39" t="s">
        <v>201</v>
      </c>
      <c r="C6" s="40">
        <v>59622</v>
      </c>
      <c r="D6" s="40">
        <v>43104</v>
      </c>
      <c r="E6" s="40">
        <v>41869</v>
      </c>
      <c r="F6" s="40">
        <v>17279</v>
      </c>
      <c r="G6" s="40">
        <v>7821</v>
      </c>
      <c r="H6" s="65" t="s">
        <v>238</v>
      </c>
      <c r="I6" s="65" t="s">
        <v>187</v>
      </c>
      <c r="J6" s="65" t="s">
        <v>238</v>
      </c>
      <c r="K6" s="40">
        <v>172905</v>
      </c>
    </row>
    <row r="7" spans="1:11" x14ac:dyDescent="0.25">
      <c r="A7" s="39" t="s">
        <v>127</v>
      </c>
      <c r="B7" s="39" t="s">
        <v>202</v>
      </c>
      <c r="C7" s="40">
        <v>90766</v>
      </c>
      <c r="D7" s="40">
        <v>67192</v>
      </c>
      <c r="E7" s="40">
        <v>75342</v>
      </c>
      <c r="F7" s="40">
        <v>34123</v>
      </c>
      <c r="G7" s="40">
        <v>13342</v>
      </c>
      <c r="H7" s="65" t="s">
        <v>238</v>
      </c>
      <c r="I7" s="65" t="s">
        <v>187</v>
      </c>
      <c r="J7" s="65" t="s">
        <v>238</v>
      </c>
      <c r="K7" s="40">
        <v>285914</v>
      </c>
    </row>
    <row r="8" spans="1:11" x14ac:dyDescent="0.25">
      <c r="A8" s="39" t="s">
        <v>127</v>
      </c>
      <c r="B8" s="39" t="s">
        <v>203</v>
      </c>
      <c r="C8" s="40">
        <v>130743</v>
      </c>
      <c r="D8" s="40">
        <v>91160</v>
      </c>
      <c r="E8" s="40">
        <v>108931</v>
      </c>
      <c r="F8" s="40">
        <v>48920</v>
      </c>
      <c r="G8" s="40">
        <v>20888</v>
      </c>
      <c r="H8" s="65" t="s">
        <v>238</v>
      </c>
      <c r="I8" s="65" t="s">
        <v>187</v>
      </c>
      <c r="J8" s="65" t="s">
        <v>238</v>
      </c>
      <c r="K8" s="40">
        <v>409083</v>
      </c>
    </row>
    <row r="9" spans="1:11" x14ac:dyDescent="0.25">
      <c r="A9" s="39" t="s">
        <v>127</v>
      </c>
      <c r="B9" s="39" t="s">
        <v>204</v>
      </c>
      <c r="C9" s="40">
        <v>201609</v>
      </c>
      <c r="D9" s="40">
        <v>145386</v>
      </c>
      <c r="E9" s="40">
        <v>174044</v>
      </c>
      <c r="F9" s="40">
        <v>74829</v>
      </c>
      <c r="G9" s="40">
        <v>40010</v>
      </c>
      <c r="H9" s="65" t="s">
        <v>238</v>
      </c>
      <c r="I9" s="65" t="s">
        <v>187</v>
      </c>
      <c r="J9" s="65" t="s">
        <v>238</v>
      </c>
      <c r="K9" s="40">
        <v>651097</v>
      </c>
    </row>
    <row r="10" spans="1:11" x14ac:dyDescent="0.25">
      <c r="A10" s="39" t="s">
        <v>127</v>
      </c>
      <c r="B10" s="39" t="s">
        <v>205</v>
      </c>
      <c r="C10" s="40">
        <v>302396</v>
      </c>
      <c r="D10" s="40">
        <v>231003</v>
      </c>
      <c r="E10" s="40">
        <v>282097</v>
      </c>
      <c r="F10" s="40">
        <v>106407</v>
      </c>
      <c r="G10" s="40">
        <v>73950</v>
      </c>
      <c r="H10" s="65" t="s">
        <v>238</v>
      </c>
      <c r="I10" s="65" t="s">
        <v>187</v>
      </c>
      <c r="J10" s="65" t="s">
        <v>238</v>
      </c>
      <c r="K10" s="40">
        <v>1021171</v>
      </c>
    </row>
    <row r="11" spans="1:11" x14ac:dyDescent="0.25">
      <c r="A11" s="39" t="s">
        <v>127</v>
      </c>
      <c r="B11" s="39" t="s">
        <v>206</v>
      </c>
      <c r="C11" s="40">
        <v>350905</v>
      </c>
      <c r="D11" s="40">
        <v>270803</v>
      </c>
      <c r="E11" s="40">
        <v>362061</v>
      </c>
      <c r="F11" s="40">
        <v>113374</v>
      </c>
      <c r="G11" s="40">
        <v>83908</v>
      </c>
      <c r="H11" s="65" t="s">
        <v>238</v>
      </c>
      <c r="I11" s="65" t="s">
        <v>187</v>
      </c>
      <c r="J11" s="65" t="s">
        <v>238</v>
      </c>
      <c r="K11" s="40">
        <v>1206347</v>
      </c>
    </row>
    <row r="12" spans="1:11" x14ac:dyDescent="0.25">
      <c r="A12" s="39" t="s">
        <v>127</v>
      </c>
      <c r="B12" s="39" t="s">
        <v>217</v>
      </c>
      <c r="C12" s="40">
        <v>99352</v>
      </c>
      <c r="D12" s="40">
        <v>84097</v>
      </c>
      <c r="E12" s="40">
        <v>102115</v>
      </c>
      <c r="F12" s="40">
        <v>32563</v>
      </c>
      <c r="G12" s="40">
        <v>22378</v>
      </c>
      <c r="H12" s="65" t="s">
        <v>238</v>
      </c>
      <c r="I12" s="65" t="s">
        <v>187</v>
      </c>
      <c r="J12" s="65" t="s">
        <v>238</v>
      </c>
      <c r="K12" s="40">
        <v>346319</v>
      </c>
    </row>
    <row r="13" spans="1:11" x14ac:dyDescent="0.25">
      <c r="A13" s="39" t="s">
        <v>127</v>
      </c>
      <c r="B13" s="39" t="s">
        <v>218</v>
      </c>
      <c r="C13" s="40">
        <v>44924</v>
      </c>
      <c r="D13" s="40">
        <v>37667</v>
      </c>
      <c r="E13" s="40">
        <v>43615</v>
      </c>
      <c r="F13" s="40">
        <v>14589</v>
      </c>
      <c r="G13" s="40">
        <v>9314</v>
      </c>
      <c r="H13" s="65" t="s">
        <v>238</v>
      </c>
      <c r="I13" s="65" t="s">
        <v>187</v>
      </c>
      <c r="J13" s="65" t="s">
        <v>238</v>
      </c>
      <c r="K13" s="40">
        <v>152664</v>
      </c>
    </row>
    <row r="14" spans="1:11" x14ac:dyDescent="0.25">
      <c r="A14" s="39" t="s">
        <v>127</v>
      </c>
      <c r="B14" s="39" t="s">
        <v>150</v>
      </c>
      <c r="C14" s="40">
        <v>14053</v>
      </c>
      <c r="D14" s="40">
        <v>11625</v>
      </c>
      <c r="E14" s="40">
        <v>13002</v>
      </c>
      <c r="F14" s="40">
        <v>4218</v>
      </c>
      <c r="G14" s="40">
        <v>2524</v>
      </c>
      <c r="H14" s="65" t="s">
        <v>238</v>
      </c>
      <c r="I14" s="65" t="s">
        <v>187</v>
      </c>
      <c r="J14" s="65" t="s">
        <v>238</v>
      </c>
      <c r="K14" s="40">
        <v>46076</v>
      </c>
    </row>
    <row r="15" spans="1:11" x14ac:dyDescent="0.25">
      <c r="A15" s="47" t="s">
        <v>127</v>
      </c>
      <c r="B15" s="47" t="s">
        <v>151</v>
      </c>
      <c r="C15" s="48">
        <v>1372342</v>
      </c>
      <c r="D15" s="48">
        <v>1044291</v>
      </c>
      <c r="E15" s="48">
        <v>1264032</v>
      </c>
      <c r="F15" s="48">
        <v>473262</v>
      </c>
      <c r="G15" s="48">
        <v>287812</v>
      </c>
      <c r="H15" s="66" t="s">
        <v>238</v>
      </c>
      <c r="I15" s="66" t="s">
        <v>187</v>
      </c>
      <c r="J15" s="66" t="s">
        <v>238</v>
      </c>
      <c r="K15" s="48">
        <v>4537093</v>
      </c>
    </row>
    <row r="16" spans="1:11" x14ac:dyDescent="0.25">
      <c r="A16" s="39" t="s">
        <v>128</v>
      </c>
      <c r="B16" s="39" t="s">
        <v>216</v>
      </c>
      <c r="C16" s="40">
        <v>15185</v>
      </c>
      <c r="D16" s="40">
        <v>15893</v>
      </c>
      <c r="E16" s="40">
        <v>13248</v>
      </c>
      <c r="F16" s="40">
        <v>5787</v>
      </c>
      <c r="G16" s="40">
        <v>2901</v>
      </c>
      <c r="H16" s="65" t="s">
        <v>238</v>
      </c>
      <c r="I16" s="65" t="s">
        <v>187</v>
      </c>
      <c r="J16" s="65" t="s">
        <v>238</v>
      </c>
      <c r="K16" s="40">
        <v>53624</v>
      </c>
    </row>
    <row r="17" spans="1:11" x14ac:dyDescent="0.25">
      <c r="A17" s="39" t="s">
        <v>128</v>
      </c>
      <c r="B17" s="39" t="s">
        <v>199</v>
      </c>
      <c r="C17" s="40">
        <v>12577</v>
      </c>
      <c r="D17" s="40">
        <v>9266</v>
      </c>
      <c r="E17" s="40">
        <v>10489</v>
      </c>
      <c r="F17" s="40">
        <v>5862</v>
      </c>
      <c r="G17" s="40">
        <v>2599</v>
      </c>
      <c r="H17" s="65" t="s">
        <v>238</v>
      </c>
      <c r="I17" s="65" t="s">
        <v>187</v>
      </c>
      <c r="J17" s="65" t="s">
        <v>238</v>
      </c>
      <c r="K17" s="40">
        <v>41459</v>
      </c>
    </row>
    <row r="18" spans="1:11" x14ac:dyDescent="0.25">
      <c r="A18" s="39" t="s">
        <v>128</v>
      </c>
      <c r="B18" s="39" t="s">
        <v>200</v>
      </c>
      <c r="C18" s="40">
        <v>71779</v>
      </c>
      <c r="D18" s="40">
        <v>53826</v>
      </c>
      <c r="E18" s="40">
        <v>56665</v>
      </c>
      <c r="F18" s="40">
        <v>22131</v>
      </c>
      <c r="G18" s="40">
        <v>9324</v>
      </c>
      <c r="H18" s="65" t="s">
        <v>238</v>
      </c>
      <c r="I18" s="65" t="s">
        <v>187</v>
      </c>
      <c r="J18" s="65" t="s">
        <v>238</v>
      </c>
      <c r="K18" s="40">
        <v>217496</v>
      </c>
    </row>
    <row r="19" spans="1:11" x14ac:dyDescent="0.25">
      <c r="A19" s="39" t="s">
        <v>128</v>
      </c>
      <c r="B19" s="39" t="s">
        <v>201</v>
      </c>
      <c r="C19" s="40">
        <v>152625</v>
      </c>
      <c r="D19" s="40">
        <v>133730</v>
      </c>
      <c r="E19" s="40">
        <v>122964</v>
      </c>
      <c r="F19" s="40">
        <v>49817</v>
      </c>
      <c r="G19" s="40">
        <v>25506</v>
      </c>
      <c r="H19" s="65" t="s">
        <v>238</v>
      </c>
      <c r="I19" s="65" t="s">
        <v>187</v>
      </c>
      <c r="J19" s="65" t="s">
        <v>238</v>
      </c>
      <c r="K19" s="40">
        <v>495143</v>
      </c>
    </row>
    <row r="20" spans="1:11" x14ac:dyDescent="0.25">
      <c r="A20" s="39" t="s">
        <v>128</v>
      </c>
      <c r="B20" s="39" t="s">
        <v>202</v>
      </c>
      <c r="C20" s="40">
        <v>179889</v>
      </c>
      <c r="D20" s="40">
        <v>155680</v>
      </c>
      <c r="E20" s="40">
        <v>149621</v>
      </c>
      <c r="F20" s="40">
        <v>62194</v>
      </c>
      <c r="G20" s="40">
        <v>32672</v>
      </c>
      <c r="H20" s="65" t="s">
        <v>238</v>
      </c>
      <c r="I20" s="65" t="s">
        <v>187</v>
      </c>
      <c r="J20" s="65" t="s">
        <v>238</v>
      </c>
      <c r="K20" s="40">
        <v>592494</v>
      </c>
    </row>
    <row r="21" spans="1:11" x14ac:dyDescent="0.25">
      <c r="A21" s="39" t="s">
        <v>128</v>
      </c>
      <c r="B21" s="39" t="s">
        <v>203</v>
      </c>
      <c r="C21" s="40">
        <v>170806</v>
      </c>
      <c r="D21" s="40">
        <v>143555</v>
      </c>
      <c r="E21" s="40">
        <v>152873</v>
      </c>
      <c r="F21" s="40">
        <v>64235</v>
      </c>
      <c r="G21" s="40">
        <v>31837</v>
      </c>
      <c r="H21" s="65" t="s">
        <v>238</v>
      </c>
      <c r="I21" s="65" t="s">
        <v>187</v>
      </c>
      <c r="J21" s="65" t="s">
        <v>238</v>
      </c>
      <c r="K21" s="40">
        <v>576976</v>
      </c>
    </row>
    <row r="22" spans="1:11" x14ac:dyDescent="0.25">
      <c r="A22" s="39" t="s">
        <v>128</v>
      </c>
      <c r="B22" s="39" t="s">
        <v>204</v>
      </c>
      <c r="C22" s="40">
        <v>220730</v>
      </c>
      <c r="D22" s="40">
        <v>183244</v>
      </c>
      <c r="E22" s="40">
        <v>198135</v>
      </c>
      <c r="F22" s="40">
        <v>82081</v>
      </c>
      <c r="G22" s="40">
        <v>50814</v>
      </c>
      <c r="H22" s="65" t="s">
        <v>238</v>
      </c>
      <c r="I22" s="65" t="s">
        <v>187</v>
      </c>
      <c r="J22" s="65" t="s">
        <v>238</v>
      </c>
      <c r="K22" s="40">
        <v>754900</v>
      </c>
    </row>
    <row r="23" spans="1:11" x14ac:dyDescent="0.25">
      <c r="A23" s="39" t="s">
        <v>128</v>
      </c>
      <c r="B23" s="39" t="s">
        <v>205</v>
      </c>
      <c r="C23" s="40">
        <v>331869</v>
      </c>
      <c r="D23" s="40">
        <v>259259</v>
      </c>
      <c r="E23" s="40">
        <v>293189</v>
      </c>
      <c r="F23" s="40">
        <v>106306</v>
      </c>
      <c r="G23" s="40">
        <v>78244</v>
      </c>
      <c r="H23" s="65" t="s">
        <v>238</v>
      </c>
      <c r="I23" s="65" t="s">
        <v>187</v>
      </c>
      <c r="J23" s="65" t="s">
        <v>238</v>
      </c>
      <c r="K23" s="40">
        <v>1096064</v>
      </c>
    </row>
    <row r="24" spans="1:11" x14ac:dyDescent="0.25">
      <c r="A24" s="39" t="s">
        <v>128</v>
      </c>
      <c r="B24" s="39" t="s">
        <v>206</v>
      </c>
      <c r="C24" s="40">
        <v>383248</v>
      </c>
      <c r="D24" s="40">
        <v>306423</v>
      </c>
      <c r="E24" s="40">
        <v>352626</v>
      </c>
      <c r="F24" s="40">
        <v>108113</v>
      </c>
      <c r="G24" s="40">
        <v>87102</v>
      </c>
      <c r="H24" s="65" t="s">
        <v>238</v>
      </c>
      <c r="I24" s="65" t="s">
        <v>187</v>
      </c>
      <c r="J24" s="65" t="s">
        <v>238</v>
      </c>
      <c r="K24" s="40">
        <v>1266067</v>
      </c>
    </row>
    <row r="25" spans="1:11" x14ac:dyDescent="0.25">
      <c r="A25" s="39" t="s">
        <v>128</v>
      </c>
      <c r="B25" s="39" t="s">
        <v>217</v>
      </c>
      <c r="C25" s="40">
        <v>126349</v>
      </c>
      <c r="D25" s="40">
        <v>108121</v>
      </c>
      <c r="E25" s="40">
        <v>116859</v>
      </c>
      <c r="F25" s="40">
        <v>37419</v>
      </c>
      <c r="G25" s="40">
        <v>26869</v>
      </c>
      <c r="H25" s="65" t="s">
        <v>238</v>
      </c>
      <c r="I25" s="65" t="s">
        <v>187</v>
      </c>
      <c r="J25" s="65" t="s">
        <v>238</v>
      </c>
      <c r="K25" s="40">
        <v>424151</v>
      </c>
    </row>
    <row r="26" spans="1:11" x14ac:dyDescent="0.25">
      <c r="A26" s="39" t="s">
        <v>128</v>
      </c>
      <c r="B26" s="39" t="s">
        <v>218</v>
      </c>
      <c r="C26" s="40">
        <v>68558</v>
      </c>
      <c r="D26" s="40">
        <v>56424</v>
      </c>
      <c r="E26" s="40">
        <v>66814</v>
      </c>
      <c r="F26" s="40">
        <v>19813</v>
      </c>
      <c r="G26" s="40">
        <v>14230</v>
      </c>
      <c r="H26" s="65" t="s">
        <v>238</v>
      </c>
      <c r="I26" s="65" t="s">
        <v>187</v>
      </c>
      <c r="J26" s="65" t="s">
        <v>238</v>
      </c>
      <c r="K26" s="40">
        <v>230403</v>
      </c>
    </row>
    <row r="27" spans="1:11" x14ac:dyDescent="0.25">
      <c r="A27" s="39" t="s">
        <v>128</v>
      </c>
      <c r="B27" s="39" t="s">
        <v>150</v>
      </c>
      <c r="C27" s="40">
        <v>25182</v>
      </c>
      <c r="D27" s="40">
        <v>22067</v>
      </c>
      <c r="E27" s="40">
        <v>26361</v>
      </c>
      <c r="F27" s="40">
        <v>7591</v>
      </c>
      <c r="G27" s="40">
        <v>6451</v>
      </c>
      <c r="H27" s="65" t="s">
        <v>238</v>
      </c>
      <c r="I27" s="65" t="s">
        <v>187</v>
      </c>
      <c r="J27" s="65" t="s">
        <v>238</v>
      </c>
      <c r="K27" s="40">
        <v>89283</v>
      </c>
    </row>
    <row r="28" spans="1:11" x14ac:dyDescent="0.25">
      <c r="A28" s="47" t="s">
        <v>128</v>
      </c>
      <c r="B28" s="47" t="s">
        <v>151</v>
      </c>
      <c r="C28" s="48">
        <v>1758797</v>
      </c>
      <c r="D28" s="48">
        <v>1447488</v>
      </c>
      <c r="E28" s="48">
        <v>1559844</v>
      </c>
      <c r="F28" s="48">
        <v>571349</v>
      </c>
      <c r="G28" s="48">
        <v>368550</v>
      </c>
      <c r="H28" s="66" t="s">
        <v>238</v>
      </c>
      <c r="I28" s="66" t="s">
        <v>187</v>
      </c>
      <c r="J28" s="66" t="s">
        <v>238</v>
      </c>
      <c r="K28" s="48">
        <v>5838061</v>
      </c>
    </row>
    <row r="29" spans="1:11" x14ac:dyDescent="0.25">
      <c r="A29" s="39" t="s">
        <v>129</v>
      </c>
      <c r="B29" s="39" t="s">
        <v>216</v>
      </c>
      <c r="C29" s="40">
        <v>36472</v>
      </c>
      <c r="D29" s="40">
        <v>36036</v>
      </c>
      <c r="E29" s="40">
        <v>31422</v>
      </c>
      <c r="F29" s="40">
        <v>13651</v>
      </c>
      <c r="G29" s="40">
        <v>6825</v>
      </c>
      <c r="H29" s="65" t="s">
        <v>238</v>
      </c>
      <c r="I29" s="65" t="s">
        <v>187</v>
      </c>
      <c r="J29" s="65" t="s">
        <v>238</v>
      </c>
      <c r="K29" s="40">
        <v>125787</v>
      </c>
    </row>
    <row r="30" spans="1:11" x14ac:dyDescent="0.25">
      <c r="A30" s="39" t="s">
        <v>129</v>
      </c>
      <c r="B30" s="39" t="s">
        <v>199</v>
      </c>
      <c r="C30" s="40">
        <v>27494</v>
      </c>
      <c r="D30" s="40">
        <v>19487</v>
      </c>
      <c r="E30" s="40">
        <v>22013</v>
      </c>
      <c r="F30" s="40">
        <v>12203</v>
      </c>
      <c r="G30" s="40">
        <v>5482</v>
      </c>
      <c r="H30" s="65" t="s">
        <v>238</v>
      </c>
      <c r="I30" s="65" t="s">
        <v>187</v>
      </c>
      <c r="J30" s="65" t="s">
        <v>238</v>
      </c>
      <c r="K30" s="40">
        <v>88084</v>
      </c>
    </row>
    <row r="31" spans="1:11" x14ac:dyDescent="0.25">
      <c r="A31" s="39" t="s">
        <v>129</v>
      </c>
      <c r="B31" s="39" t="s">
        <v>200</v>
      </c>
      <c r="C31" s="40">
        <v>113967</v>
      </c>
      <c r="D31" s="40">
        <v>86025</v>
      </c>
      <c r="E31" s="40">
        <v>87960</v>
      </c>
      <c r="F31" s="40">
        <v>34886</v>
      </c>
      <c r="G31" s="40">
        <v>16247</v>
      </c>
      <c r="H31" s="65" t="s">
        <v>238</v>
      </c>
      <c r="I31" s="65" t="s">
        <v>187</v>
      </c>
      <c r="J31" s="65" t="s">
        <v>238</v>
      </c>
      <c r="K31" s="40">
        <v>345049</v>
      </c>
    </row>
    <row r="32" spans="1:11" x14ac:dyDescent="0.25">
      <c r="A32" s="39" t="s">
        <v>129</v>
      </c>
      <c r="B32" s="39" t="s">
        <v>201</v>
      </c>
      <c r="C32" s="40">
        <v>212625</v>
      </c>
      <c r="D32" s="40">
        <v>177325</v>
      </c>
      <c r="E32" s="40">
        <v>164877</v>
      </c>
      <c r="F32" s="40">
        <v>67215</v>
      </c>
      <c r="G32" s="40">
        <v>33474</v>
      </c>
      <c r="H32" s="65" t="s">
        <v>238</v>
      </c>
      <c r="I32" s="65" t="s">
        <v>187</v>
      </c>
      <c r="J32" s="65" t="s">
        <v>238</v>
      </c>
      <c r="K32" s="40">
        <v>669228</v>
      </c>
    </row>
    <row r="33" spans="1:11" x14ac:dyDescent="0.25">
      <c r="A33" s="39" t="s">
        <v>129</v>
      </c>
      <c r="B33" s="39" t="s">
        <v>202</v>
      </c>
      <c r="C33" s="40">
        <v>270941</v>
      </c>
      <c r="D33" s="40">
        <v>223030</v>
      </c>
      <c r="E33" s="40">
        <v>224965</v>
      </c>
      <c r="F33" s="40">
        <v>96339</v>
      </c>
      <c r="G33" s="40">
        <v>46436</v>
      </c>
      <c r="H33" s="65" t="s">
        <v>238</v>
      </c>
      <c r="I33" s="65" t="s">
        <v>187</v>
      </c>
      <c r="J33" s="65" t="s">
        <v>238</v>
      </c>
      <c r="K33" s="40">
        <v>879336</v>
      </c>
    </row>
    <row r="34" spans="1:11" x14ac:dyDescent="0.25">
      <c r="A34" s="39" t="s">
        <v>129</v>
      </c>
      <c r="B34" s="39" t="s">
        <v>203</v>
      </c>
      <c r="C34" s="40">
        <v>301742</v>
      </c>
      <c r="D34" s="40">
        <v>234810</v>
      </c>
      <c r="E34" s="40">
        <v>261805</v>
      </c>
      <c r="F34" s="40">
        <v>113155</v>
      </c>
      <c r="G34" s="40">
        <v>53962</v>
      </c>
      <c r="H34" s="65" t="s">
        <v>238</v>
      </c>
      <c r="I34" s="65" t="s">
        <v>187</v>
      </c>
      <c r="J34" s="65" t="s">
        <v>238</v>
      </c>
      <c r="K34" s="40">
        <v>987637</v>
      </c>
    </row>
    <row r="35" spans="1:11" x14ac:dyDescent="0.25">
      <c r="A35" s="39" t="s">
        <v>129</v>
      </c>
      <c r="B35" s="39" t="s">
        <v>204</v>
      </c>
      <c r="C35" s="40">
        <v>422429</v>
      </c>
      <c r="D35" s="40">
        <v>328685</v>
      </c>
      <c r="E35" s="40">
        <v>372181</v>
      </c>
      <c r="F35" s="40">
        <v>156910</v>
      </c>
      <c r="G35" s="40">
        <v>92784</v>
      </c>
      <c r="H35" s="65" t="s">
        <v>238</v>
      </c>
      <c r="I35" s="65" t="s">
        <v>187</v>
      </c>
      <c r="J35" s="65" t="s">
        <v>238</v>
      </c>
      <c r="K35" s="40">
        <v>1408106</v>
      </c>
    </row>
    <row r="36" spans="1:11" x14ac:dyDescent="0.25">
      <c r="A36" s="39" t="s">
        <v>129</v>
      </c>
      <c r="B36" s="39" t="s">
        <v>205</v>
      </c>
      <c r="C36" s="40">
        <v>634378</v>
      </c>
      <c r="D36" s="40">
        <v>490309</v>
      </c>
      <c r="E36" s="40">
        <v>575287</v>
      </c>
      <c r="F36" s="40">
        <v>212713</v>
      </c>
      <c r="G36" s="40">
        <v>155942</v>
      </c>
      <c r="H36" s="65" t="s">
        <v>238</v>
      </c>
      <c r="I36" s="65" t="s">
        <v>187</v>
      </c>
      <c r="J36" s="65" t="s">
        <v>238</v>
      </c>
      <c r="K36" s="40">
        <v>2121147</v>
      </c>
    </row>
    <row r="37" spans="1:11" x14ac:dyDescent="0.25">
      <c r="A37" s="39" t="s">
        <v>129</v>
      </c>
      <c r="B37" s="39" t="s">
        <v>206</v>
      </c>
      <c r="C37" s="40">
        <v>734190</v>
      </c>
      <c r="D37" s="40">
        <v>577233</v>
      </c>
      <c r="E37" s="40">
        <v>714687</v>
      </c>
      <c r="F37" s="40">
        <v>221487</v>
      </c>
      <c r="G37" s="40">
        <v>173647</v>
      </c>
      <c r="H37" s="65" t="s">
        <v>238</v>
      </c>
      <c r="I37" s="65" t="s">
        <v>187</v>
      </c>
      <c r="J37" s="65" t="s">
        <v>238</v>
      </c>
      <c r="K37" s="40">
        <v>2475096</v>
      </c>
    </row>
    <row r="38" spans="1:11" x14ac:dyDescent="0.25">
      <c r="A38" s="39" t="s">
        <v>129</v>
      </c>
      <c r="B38" s="39" t="s">
        <v>217</v>
      </c>
      <c r="C38" s="40">
        <v>225704</v>
      </c>
      <c r="D38" s="40">
        <v>192229</v>
      </c>
      <c r="E38" s="40">
        <v>218974</v>
      </c>
      <c r="F38" s="40">
        <v>69982</v>
      </c>
      <c r="G38" s="40">
        <v>49473</v>
      </c>
      <c r="H38" s="65" t="s">
        <v>238</v>
      </c>
      <c r="I38" s="65" t="s">
        <v>187</v>
      </c>
      <c r="J38" s="65" t="s">
        <v>238</v>
      </c>
      <c r="K38" s="40">
        <v>770710</v>
      </c>
    </row>
    <row r="39" spans="1:11" x14ac:dyDescent="0.25">
      <c r="A39" s="39" t="s">
        <v>129</v>
      </c>
      <c r="B39" s="39" t="s">
        <v>218</v>
      </c>
      <c r="C39" s="40">
        <v>113483</v>
      </c>
      <c r="D39" s="40">
        <v>94091</v>
      </c>
      <c r="E39" s="40">
        <v>110429</v>
      </c>
      <c r="F39" s="40">
        <v>34402</v>
      </c>
      <c r="G39" s="40">
        <v>23571</v>
      </c>
      <c r="H39" s="65" t="s">
        <v>238</v>
      </c>
      <c r="I39" s="65" t="s">
        <v>187</v>
      </c>
      <c r="J39" s="65" t="s">
        <v>238</v>
      </c>
      <c r="K39" s="40">
        <v>383095</v>
      </c>
    </row>
    <row r="40" spans="1:11" x14ac:dyDescent="0.25">
      <c r="A40" s="39" t="s">
        <v>129</v>
      </c>
      <c r="B40" s="39" t="s">
        <v>150</v>
      </c>
      <c r="C40" s="40">
        <v>39235</v>
      </c>
      <c r="D40" s="40">
        <v>33694</v>
      </c>
      <c r="E40" s="40">
        <v>39363</v>
      </c>
      <c r="F40" s="40">
        <v>11809</v>
      </c>
      <c r="G40" s="40">
        <v>8989</v>
      </c>
      <c r="H40" s="65" t="s">
        <v>238</v>
      </c>
      <c r="I40" s="65" t="s">
        <v>187</v>
      </c>
      <c r="J40" s="65" t="s">
        <v>238</v>
      </c>
      <c r="K40" s="40">
        <v>135375</v>
      </c>
    </row>
    <row r="41" spans="1:11" x14ac:dyDescent="0.25">
      <c r="A41" s="53" t="s">
        <v>129</v>
      </c>
      <c r="B41" s="53" t="s">
        <v>151</v>
      </c>
      <c r="C41" s="54">
        <v>3132660</v>
      </c>
      <c r="D41" s="54">
        <v>2492954</v>
      </c>
      <c r="E41" s="54">
        <v>2823963</v>
      </c>
      <c r="F41" s="54">
        <v>1044752</v>
      </c>
      <c r="G41" s="54">
        <v>666833</v>
      </c>
      <c r="H41" s="67" t="s">
        <v>238</v>
      </c>
      <c r="I41" s="67" t="s">
        <v>187</v>
      </c>
      <c r="J41" s="67" t="s">
        <v>238</v>
      </c>
      <c r="K41" s="54">
        <v>10388651</v>
      </c>
    </row>
    <row r="42" spans="1:11" x14ac:dyDescent="0.25">
      <c r="A42" s="45"/>
      <c r="B42" s="36"/>
      <c r="C42" s="36"/>
      <c r="D42" s="36"/>
      <c r="E42" s="36"/>
      <c r="F42" s="36"/>
      <c r="G42" s="36"/>
      <c r="H42" s="36"/>
      <c r="I42" s="36"/>
      <c r="J42" s="36"/>
      <c r="K42" s="36"/>
    </row>
    <row r="43" spans="1:11" x14ac:dyDescent="0.25">
      <c r="A43" s="36" t="s">
        <v>153</v>
      </c>
      <c r="B43" s="36"/>
      <c r="C43" s="36"/>
      <c r="D43" s="36"/>
      <c r="E43" s="36"/>
      <c r="F43" s="36"/>
      <c r="G43" s="36"/>
      <c r="H43" s="36"/>
      <c r="I43" s="36"/>
      <c r="J43" s="36"/>
      <c r="K43" s="36"/>
    </row>
    <row r="44" spans="1:11" x14ac:dyDescent="0.25">
      <c r="A44" s="46" t="s">
        <v>123</v>
      </c>
      <c r="B44" s="36"/>
      <c r="C44" s="36"/>
      <c r="D44" s="36"/>
      <c r="E44" s="36"/>
      <c r="F44" s="36"/>
      <c r="G44" s="36"/>
      <c r="H44" s="36"/>
      <c r="I44" s="36"/>
      <c r="J44" s="36"/>
      <c r="K44" s="36"/>
    </row>
    <row r="45" spans="1:11" x14ac:dyDescent="0.25">
      <c r="A45" s="36"/>
      <c r="B45" s="36"/>
      <c r="C45" s="36"/>
      <c r="D45" s="36"/>
      <c r="E45" s="36"/>
      <c r="F45" s="36"/>
      <c r="G45" s="36"/>
      <c r="H45" s="36"/>
      <c r="I45" s="36"/>
      <c r="J45" s="36"/>
      <c r="K45" s="36"/>
    </row>
    <row r="46" spans="1:11" x14ac:dyDescent="0.25">
      <c r="A46" s="46" t="s">
        <v>154</v>
      </c>
      <c r="B46" s="36"/>
      <c r="C46" s="36"/>
      <c r="D46" s="36"/>
      <c r="E46" s="36"/>
      <c r="F46" s="36"/>
      <c r="G46" s="36"/>
      <c r="H46" s="36"/>
      <c r="I46" s="36"/>
      <c r="J46" s="36"/>
      <c r="K46" s="36"/>
    </row>
    <row r="47" spans="1:11" x14ac:dyDescent="0.25">
      <c r="A47" s="36"/>
      <c r="B47" s="36"/>
      <c r="C47" s="36"/>
      <c r="D47" s="36"/>
      <c r="E47" s="36"/>
      <c r="F47" s="36"/>
      <c r="G47" s="36"/>
      <c r="H47" s="36"/>
      <c r="I47" s="36"/>
      <c r="J47" s="36"/>
      <c r="K47" s="36"/>
    </row>
    <row r="48" spans="1:11" x14ac:dyDescent="0.25">
      <c r="A48" s="46" t="s">
        <v>155</v>
      </c>
      <c r="B48" s="36"/>
      <c r="C48" s="36"/>
      <c r="D48" s="36"/>
      <c r="E48" s="36"/>
      <c r="F48" s="36"/>
      <c r="G48" s="36"/>
      <c r="H48" s="36"/>
      <c r="I48" s="36"/>
      <c r="J48" s="36"/>
      <c r="K48" s="36"/>
    </row>
  </sheetData>
  <mergeCells count="1">
    <mergeCell ref="A1:K1"/>
  </mergeCells>
  <hyperlinks>
    <hyperlink ref="A44" r:id="rId1" xr:uid="{00000000-0004-0000-0D00-000000000000}"/>
    <hyperlink ref="A46" location="'Technical specifications'!A1" display="Technical specifications" xr:uid="{00000000-0004-0000-0D00-000001000000}"/>
    <hyperlink ref="A48" location="Contents!A1" display="Back to contents" xr:uid="{00000000-0004-0000-0D00-000002000000}"/>
  </hyperlinks>
  <pageMargins left="0.75" right="0.75" top="1" bottom="1" header="0.5" footer="0.5"/>
  <ignoredErrors>
    <ignoredError sqref="B4 B17 B30" twoDigitTextYea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1"/>
  <sheetViews>
    <sheetView workbookViewId="0">
      <selection sqref="A1:F1"/>
    </sheetView>
  </sheetViews>
  <sheetFormatPr defaultRowHeight="15" x14ac:dyDescent="0.25"/>
  <cols>
    <col min="1" max="2" width="17" customWidth="1"/>
    <col min="3" max="6" width="20" customWidth="1"/>
  </cols>
  <sheetData>
    <row r="1" spans="1:6" ht="33.75" customHeight="1" x14ac:dyDescent="0.25">
      <c r="A1" s="73" t="s">
        <v>14</v>
      </c>
      <c r="B1" s="74"/>
      <c r="C1" s="74"/>
      <c r="D1" s="74"/>
      <c r="E1" s="74"/>
      <c r="F1" s="74"/>
    </row>
    <row r="2" spans="1:6" ht="23.25" x14ac:dyDescent="0.25">
      <c r="A2" s="37" t="s">
        <v>125</v>
      </c>
      <c r="B2" s="37" t="s">
        <v>180</v>
      </c>
      <c r="C2" s="38" t="s">
        <v>219</v>
      </c>
      <c r="D2" s="38" t="s">
        <v>220</v>
      </c>
      <c r="E2" s="38" t="s">
        <v>221</v>
      </c>
      <c r="F2" s="38" t="s">
        <v>151</v>
      </c>
    </row>
    <row r="3" spans="1:6" x14ac:dyDescent="0.25">
      <c r="A3" s="39" t="s">
        <v>130</v>
      </c>
      <c r="B3" s="39" t="s">
        <v>158</v>
      </c>
      <c r="C3" s="40">
        <v>304812</v>
      </c>
      <c r="D3" s="40">
        <v>35002</v>
      </c>
      <c r="E3" s="40">
        <v>6688</v>
      </c>
      <c r="F3" s="40">
        <v>346502</v>
      </c>
    </row>
    <row r="4" spans="1:6" x14ac:dyDescent="0.25">
      <c r="A4" s="39" t="s">
        <v>130</v>
      </c>
      <c r="B4" s="39" t="s">
        <v>159</v>
      </c>
      <c r="C4" s="40">
        <v>2043</v>
      </c>
      <c r="D4" s="40">
        <v>48810</v>
      </c>
      <c r="E4" s="40">
        <v>9560</v>
      </c>
      <c r="F4" s="40">
        <v>60413</v>
      </c>
    </row>
    <row r="5" spans="1:6" x14ac:dyDescent="0.25">
      <c r="A5" s="39" t="s">
        <v>132</v>
      </c>
      <c r="B5" s="39" t="s">
        <v>158</v>
      </c>
      <c r="C5" s="40">
        <v>105457</v>
      </c>
      <c r="D5" s="40">
        <v>18831</v>
      </c>
      <c r="E5" s="40">
        <v>2097</v>
      </c>
      <c r="F5" s="40">
        <v>126385</v>
      </c>
    </row>
    <row r="6" spans="1:6" x14ac:dyDescent="0.25">
      <c r="A6" s="39" t="s">
        <v>132</v>
      </c>
      <c r="B6" s="39" t="s">
        <v>159</v>
      </c>
      <c r="C6" s="40">
        <v>2902</v>
      </c>
      <c r="D6" s="40">
        <v>37133</v>
      </c>
      <c r="E6" s="40">
        <v>8449</v>
      </c>
      <c r="F6" s="40">
        <v>48484</v>
      </c>
    </row>
    <row r="7" spans="1:6" x14ac:dyDescent="0.25">
      <c r="A7" s="39" t="s">
        <v>133</v>
      </c>
      <c r="B7" s="39" t="s">
        <v>158</v>
      </c>
      <c r="C7" s="40">
        <v>94514</v>
      </c>
      <c r="D7" s="40">
        <v>19458</v>
      </c>
      <c r="E7" s="40">
        <v>1464</v>
      </c>
      <c r="F7" s="40">
        <v>115436</v>
      </c>
    </row>
    <row r="8" spans="1:6" x14ac:dyDescent="0.25">
      <c r="A8" s="39" t="s">
        <v>133</v>
      </c>
      <c r="B8" s="39" t="s">
        <v>159</v>
      </c>
      <c r="C8" s="40">
        <v>1283</v>
      </c>
      <c r="D8" s="40">
        <v>29307</v>
      </c>
      <c r="E8" s="40">
        <v>4430</v>
      </c>
      <c r="F8" s="40">
        <v>35020</v>
      </c>
    </row>
    <row r="9" spans="1:6" x14ac:dyDescent="0.25">
      <c r="A9" s="39" t="s">
        <v>134</v>
      </c>
      <c r="B9" s="39" t="s">
        <v>158</v>
      </c>
      <c r="C9" s="40">
        <v>144667</v>
      </c>
      <c r="D9" s="40">
        <v>19656</v>
      </c>
      <c r="E9" s="40">
        <v>6168</v>
      </c>
      <c r="F9" s="40">
        <v>170491</v>
      </c>
    </row>
    <row r="10" spans="1:6" x14ac:dyDescent="0.25">
      <c r="A10" s="39" t="s">
        <v>134</v>
      </c>
      <c r="B10" s="39" t="s">
        <v>159</v>
      </c>
      <c r="C10" s="40">
        <v>2293</v>
      </c>
      <c r="D10" s="40">
        <v>73225</v>
      </c>
      <c r="E10" s="40">
        <v>11031</v>
      </c>
      <c r="F10" s="40">
        <v>86549</v>
      </c>
    </row>
    <row r="11" spans="1:6" x14ac:dyDescent="0.25">
      <c r="A11" s="39" t="s">
        <v>135</v>
      </c>
      <c r="B11" s="39" t="s">
        <v>158</v>
      </c>
      <c r="C11" s="40">
        <v>209983</v>
      </c>
      <c r="D11" s="40">
        <v>13308</v>
      </c>
      <c r="E11" s="40">
        <v>14064</v>
      </c>
      <c r="F11" s="40">
        <v>237355</v>
      </c>
    </row>
    <row r="12" spans="1:6" x14ac:dyDescent="0.25">
      <c r="A12" s="39" t="s">
        <v>135</v>
      </c>
      <c r="B12" s="39" t="s">
        <v>159</v>
      </c>
      <c r="C12" s="40">
        <v>4114</v>
      </c>
      <c r="D12" s="40">
        <v>92370</v>
      </c>
      <c r="E12" s="40">
        <v>22351</v>
      </c>
      <c r="F12" s="40">
        <v>118835</v>
      </c>
    </row>
    <row r="13" spans="1:6" x14ac:dyDescent="0.25">
      <c r="A13" s="39" t="s">
        <v>136</v>
      </c>
      <c r="B13" s="39" t="s">
        <v>158</v>
      </c>
      <c r="C13" s="40">
        <v>312589</v>
      </c>
      <c r="D13" s="40">
        <v>14822</v>
      </c>
      <c r="E13" s="40">
        <v>20297</v>
      </c>
      <c r="F13" s="40">
        <v>347708</v>
      </c>
    </row>
    <row r="14" spans="1:6" x14ac:dyDescent="0.25">
      <c r="A14" s="39" t="s">
        <v>136</v>
      </c>
      <c r="B14" s="39" t="s">
        <v>159</v>
      </c>
      <c r="C14" s="40">
        <v>5846</v>
      </c>
      <c r="D14" s="40">
        <v>93946</v>
      </c>
      <c r="E14" s="40">
        <v>33772</v>
      </c>
      <c r="F14" s="40">
        <v>133564</v>
      </c>
    </row>
    <row r="15" spans="1:6" x14ac:dyDescent="0.25">
      <c r="A15" s="39" t="s">
        <v>137</v>
      </c>
      <c r="B15" s="39" t="s">
        <v>158</v>
      </c>
      <c r="C15" s="40">
        <v>383326</v>
      </c>
      <c r="D15" s="40">
        <v>21833</v>
      </c>
      <c r="E15" s="40">
        <v>18902</v>
      </c>
      <c r="F15" s="40">
        <v>424061</v>
      </c>
    </row>
    <row r="16" spans="1:6" x14ac:dyDescent="0.25">
      <c r="A16" s="39" t="s">
        <v>137</v>
      </c>
      <c r="B16" s="39" t="s">
        <v>159</v>
      </c>
      <c r="C16" s="40">
        <v>7998</v>
      </c>
      <c r="D16" s="40">
        <v>148999</v>
      </c>
      <c r="E16" s="40">
        <v>45493</v>
      </c>
      <c r="F16" s="40">
        <v>202490</v>
      </c>
    </row>
    <row r="17" spans="1:6" x14ac:dyDescent="0.25">
      <c r="A17" s="39" t="s">
        <v>138</v>
      </c>
      <c r="B17" s="39" t="s">
        <v>158</v>
      </c>
      <c r="C17" s="40">
        <v>354234</v>
      </c>
      <c r="D17" s="40">
        <v>25339</v>
      </c>
      <c r="E17" s="40">
        <v>12339</v>
      </c>
      <c r="F17" s="40">
        <v>391912</v>
      </c>
    </row>
    <row r="18" spans="1:6" x14ac:dyDescent="0.25">
      <c r="A18" s="39" t="s">
        <v>138</v>
      </c>
      <c r="B18" s="39" t="s">
        <v>159</v>
      </c>
      <c r="C18" s="40">
        <v>12523</v>
      </c>
      <c r="D18" s="40">
        <v>187189</v>
      </c>
      <c r="E18" s="40">
        <v>49486</v>
      </c>
      <c r="F18" s="40">
        <v>249198</v>
      </c>
    </row>
    <row r="19" spans="1:6" x14ac:dyDescent="0.25">
      <c r="A19" s="39" t="s">
        <v>139</v>
      </c>
      <c r="B19" s="39" t="s">
        <v>158</v>
      </c>
      <c r="C19" s="40">
        <v>315275</v>
      </c>
      <c r="D19" s="40">
        <v>24896</v>
      </c>
      <c r="E19" s="40">
        <v>8599</v>
      </c>
      <c r="F19" s="40">
        <v>348770</v>
      </c>
    </row>
    <row r="20" spans="1:6" x14ac:dyDescent="0.25">
      <c r="A20" s="39" t="s">
        <v>139</v>
      </c>
      <c r="B20" s="39" t="s">
        <v>159</v>
      </c>
      <c r="C20" s="40">
        <v>14055</v>
      </c>
      <c r="D20" s="40">
        <v>191877</v>
      </c>
      <c r="E20" s="40">
        <v>42168</v>
      </c>
      <c r="F20" s="40">
        <v>248100</v>
      </c>
    </row>
    <row r="21" spans="1:6" x14ac:dyDescent="0.25">
      <c r="A21" s="39" t="s">
        <v>140</v>
      </c>
      <c r="B21" s="39" t="s">
        <v>158</v>
      </c>
      <c r="C21" s="40">
        <v>325920</v>
      </c>
      <c r="D21" s="40">
        <v>26751</v>
      </c>
      <c r="E21" s="40">
        <v>7349</v>
      </c>
      <c r="F21" s="40">
        <v>360020</v>
      </c>
    </row>
    <row r="22" spans="1:6" x14ac:dyDescent="0.25">
      <c r="A22" s="39" t="s">
        <v>140</v>
      </c>
      <c r="B22" s="39" t="s">
        <v>159</v>
      </c>
      <c r="C22" s="40">
        <v>17255</v>
      </c>
      <c r="D22" s="40">
        <v>195803</v>
      </c>
      <c r="E22" s="40">
        <v>35307</v>
      </c>
      <c r="F22" s="40">
        <v>248365</v>
      </c>
    </row>
    <row r="23" spans="1:6" x14ac:dyDescent="0.25">
      <c r="A23" s="39" t="s">
        <v>141</v>
      </c>
      <c r="B23" s="39" t="s">
        <v>158</v>
      </c>
      <c r="C23" s="40">
        <v>426592</v>
      </c>
      <c r="D23" s="40">
        <v>34697</v>
      </c>
      <c r="E23" s="40">
        <v>7512</v>
      </c>
      <c r="F23" s="40">
        <v>468801</v>
      </c>
    </row>
    <row r="24" spans="1:6" x14ac:dyDescent="0.25">
      <c r="A24" s="39" t="s">
        <v>141</v>
      </c>
      <c r="B24" s="39" t="s">
        <v>159</v>
      </c>
      <c r="C24" s="40">
        <v>25220</v>
      </c>
      <c r="D24" s="40">
        <v>258670</v>
      </c>
      <c r="E24" s="40">
        <v>43491</v>
      </c>
      <c r="F24" s="40">
        <v>327381</v>
      </c>
    </row>
    <row r="25" spans="1:6" x14ac:dyDescent="0.25">
      <c r="A25" s="39" t="s">
        <v>142</v>
      </c>
      <c r="B25" s="39" t="s">
        <v>158</v>
      </c>
      <c r="C25" s="40">
        <v>471701</v>
      </c>
      <c r="D25" s="40">
        <v>39511</v>
      </c>
      <c r="E25" s="40">
        <v>7939</v>
      </c>
      <c r="F25" s="40">
        <v>519151</v>
      </c>
    </row>
    <row r="26" spans="1:6" x14ac:dyDescent="0.25">
      <c r="A26" s="39" t="s">
        <v>142</v>
      </c>
      <c r="B26" s="39" t="s">
        <v>159</v>
      </c>
      <c r="C26" s="40">
        <v>29372</v>
      </c>
      <c r="D26" s="40">
        <v>288357</v>
      </c>
      <c r="E26" s="40">
        <v>43860</v>
      </c>
      <c r="F26" s="40">
        <v>361589</v>
      </c>
    </row>
    <row r="27" spans="1:6" x14ac:dyDescent="0.25">
      <c r="A27" s="39" t="s">
        <v>143</v>
      </c>
      <c r="B27" s="39" t="s">
        <v>158</v>
      </c>
      <c r="C27" s="40">
        <v>558330</v>
      </c>
      <c r="D27" s="40">
        <v>56005</v>
      </c>
      <c r="E27" s="40">
        <v>8278</v>
      </c>
      <c r="F27" s="40">
        <v>622613</v>
      </c>
    </row>
    <row r="28" spans="1:6" x14ac:dyDescent="0.25">
      <c r="A28" s="39" t="s">
        <v>143</v>
      </c>
      <c r="B28" s="39" t="s">
        <v>159</v>
      </c>
      <c r="C28" s="40">
        <v>33176</v>
      </c>
      <c r="D28" s="40">
        <v>381568</v>
      </c>
      <c r="E28" s="40">
        <v>47504</v>
      </c>
      <c r="F28" s="40">
        <v>462248</v>
      </c>
    </row>
    <row r="29" spans="1:6" x14ac:dyDescent="0.25">
      <c r="A29" s="39" t="s">
        <v>144</v>
      </c>
      <c r="B29" s="39" t="s">
        <v>158</v>
      </c>
      <c r="C29" s="40">
        <v>581837</v>
      </c>
      <c r="D29" s="40">
        <v>75203</v>
      </c>
      <c r="E29" s="40">
        <v>8570</v>
      </c>
      <c r="F29" s="40">
        <v>665610</v>
      </c>
    </row>
    <row r="30" spans="1:6" x14ac:dyDescent="0.25">
      <c r="A30" s="39" t="s">
        <v>144</v>
      </c>
      <c r="B30" s="39" t="s">
        <v>159</v>
      </c>
      <c r="C30" s="40">
        <v>37363</v>
      </c>
      <c r="D30" s="40">
        <v>465728</v>
      </c>
      <c r="E30" s="40">
        <v>43892</v>
      </c>
      <c r="F30" s="40">
        <v>546983</v>
      </c>
    </row>
    <row r="31" spans="1:6" x14ac:dyDescent="0.25">
      <c r="A31" s="39" t="s">
        <v>145</v>
      </c>
      <c r="B31" s="39" t="s">
        <v>158</v>
      </c>
      <c r="C31" s="40">
        <v>590116</v>
      </c>
      <c r="D31" s="40">
        <v>87787</v>
      </c>
      <c r="E31" s="40">
        <v>9911</v>
      </c>
      <c r="F31" s="40">
        <v>687814</v>
      </c>
    </row>
    <row r="32" spans="1:6" x14ac:dyDescent="0.25">
      <c r="A32" s="39" t="s">
        <v>145</v>
      </c>
      <c r="B32" s="39" t="s">
        <v>159</v>
      </c>
      <c r="C32" s="40">
        <v>36900</v>
      </c>
      <c r="D32" s="40">
        <v>524924</v>
      </c>
      <c r="E32" s="40">
        <v>47507</v>
      </c>
      <c r="F32" s="40">
        <v>609331</v>
      </c>
    </row>
    <row r="33" spans="1:6" x14ac:dyDescent="0.25">
      <c r="A33" s="39" t="s">
        <v>146</v>
      </c>
      <c r="B33" s="39" t="s">
        <v>158</v>
      </c>
      <c r="C33" s="40">
        <v>593593</v>
      </c>
      <c r="D33" s="40">
        <v>106539</v>
      </c>
      <c r="E33" s="40">
        <v>17156</v>
      </c>
      <c r="F33" s="40">
        <v>717288</v>
      </c>
    </row>
    <row r="34" spans="1:6" x14ac:dyDescent="0.25">
      <c r="A34" s="39" t="s">
        <v>146</v>
      </c>
      <c r="B34" s="39" t="s">
        <v>159</v>
      </c>
      <c r="C34" s="40">
        <v>32276</v>
      </c>
      <c r="D34" s="40">
        <v>544564</v>
      </c>
      <c r="E34" s="40">
        <v>65843</v>
      </c>
      <c r="F34" s="40">
        <v>642683</v>
      </c>
    </row>
    <row r="35" spans="1:6" x14ac:dyDescent="0.25">
      <c r="A35" s="39" t="s">
        <v>147</v>
      </c>
      <c r="B35" s="39" t="s">
        <v>158</v>
      </c>
      <c r="C35" s="40">
        <v>439544</v>
      </c>
      <c r="D35" s="40">
        <v>93896</v>
      </c>
      <c r="E35" s="40">
        <v>8358</v>
      </c>
      <c r="F35" s="40">
        <v>541798</v>
      </c>
    </row>
    <row r="36" spans="1:6" x14ac:dyDescent="0.25">
      <c r="A36" s="39" t="s">
        <v>147</v>
      </c>
      <c r="B36" s="39" t="s">
        <v>159</v>
      </c>
      <c r="C36" s="40">
        <v>24352</v>
      </c>
      <c r="D36" s="40">
        <v>371659</v>
      </c>
      <c r="E36" s="40">
        <v>30073</v>
      </c>
      <c r="F36" s="40">
        <v>426084</v>
      </c>
    </row>
    <row r="37" spans="1:6" x14ac:dyDescent="0.25">
      <c r="A37" s="39" t="s">
        <v>148</v>
      </c>
      <c r="B37" s="39" t="s">
        <v>158</v>
      </c>
      <c r="C37" s="40">
        <v>283440</v>
      </c>
      <c r="D37" s="40">
        <v>64413</v>
      </c>
      <c r="E37" s="40">
        <v>6368</v>
      </c>
      <c r="F37" s="40">
        <v>354221</v>
      </c>
    </row>
    <row r="38" spans="1:6" x14ac:dyDescent="0.25">
      <c r="A38" s="39" t="s">
        <v>148</v>
      </c>
      <c r="B38" s="39" t="s">
        <v>159</v>
      </c>
      <c r="C38" s="40">
        <v>13442</v>
      </c>
      <c r="D38" s="40">
        <v>189874</v>
      </c>
      <c r="E38" s="40">
        <v>16852</v>
      </c>
      <c r="F38" s="40">
        <v>220168</v>
      </c>
    </row>
    <row r="39" spans="1:6" x14ac:dyDescent="0.25">
      <c r="A39" s="39" t="s">
        <v>149</v>
      </c>
      <c r="B39" s="39" t="s">
        <v>158</v>
      </c>
      <c r="C39" s="40">
        <v>123035</v>
      </c>
      <c r="D39" s="40">
        <v>28835</v>
      </c>
      <c r="E39" s="40">
        <v>4584</v>
      </c>
      <c r="F39" s="40">
        <v>156454</v>
      </c>
    </row>
    <row r="40" spans="1:6" x14ac:dyDescent="0.25">
      <c r="A40" s="39" t="s">
        <v>149</v>
      </c>
      <c r="B40" s="39" t="s">
        <v>159</v>
      </c>
      <c r="C40" s="40">
        <v>3733</v>
      </c>
      <c r="D40" s="40">
        <v>65115</v>
      </c>
      <c r="E40" s="40">
        <v>7973</v>
      </c>
      <c r="F40" s="40">
        <v>76821</v>
      </c>
    </row>
    <row r="41" spans="1:6" x14ac:dyDescent="0.25">
      <c r="A41" s="39" t="s">
        <v>150</v>
      </c>
      <c r="B41" s="39" t="s">
        <v>158</v>
      </c>
      <c r="C41" s="40">
        <v>35887</v>
      </c>
      <c r="D41" s="40">
        <v>8289</v>
      </c>
      <c r="E41" s="40">
        <v>4722</v>
      </c>
      <c r="F41" s="40">
        <v>48898</v>
      </c>
    </row>
    <row r="42" spans="1:6" x14ac:dyDescent="0.25">
      <c r="A42" s="39" t="s">
        <v>150</v>
      </c>
      <c r="B42" s="39" t="s">
        <v>159</v>
      </c>
      <c r="C42" s="40">
        <v>768</v>
      </c>
      <c r="D42" s="40">
        <v>14528</v>
      </c>
      <c r="E42" s="40">
        <v>5549</v>
      </c>
      <c r="F42" s="40">
        <v>20845</v>
      </c>
    </row>
    <row r="43" spans="1:6" x14ac:dyDescent="0.25">
      <c r="A43" s="41" t="s">
        <v>151</v>
      </c>
      <c r="B43" s="41" t="s">
        <v>158</v>
      </c>
      <c r="C43" s="42">
        <v>6655083</v>
      </c>
      <c r="D43" s="42">
        <v>815102</v>
      </c>
      <c r="E43" s="42">
        <v>181367</v>
      </c>
      <c r="F43" s="42">
        <v>7651552</v>
      </c>
    </row>
    <row r="44" spans="1:6" x14ac:dyDescent="0.25">
      <c r="A44" s="43" t="s">
        <v>151</v>
      </c>
      <c r="B44" s="43" t="s">
        <v>159</v>
      </c>
      <c r="C44" s="44">
        <v>306914</v>
      </c>
      <c r="D44" s="44">
        <v>4203646</v>
      </c>
      <c r="E44" s="44">
        <v>614592</v>
      </c>
      <c r="F44" s="44">
        <v>5125152</v>
      </c>
    </row>
    <row r="45" spans="1:6" x14ac:dyDescent="0.25">
      <c r="A45" s="45"/>
      <c r="B45" s="36"/>
      <c r="C45" s="36"/>
      <c r="D45" s="36"/>
      <c r="E45" s="36"/>
      <c r="F45" s="36"/>
    </row>
    <row r="46" spans="1:6" x14ac:dyDescent="0.25">
      <c r="A46" s="36" t="s">
        <v>153</v>
      </c>
      <c r="B46" s="36"/>
      <c r="C46" s="36"/>
      <c r="D46" s="36"/>
      <c r="E46" s="36"/>
      <c r="F46" s="36"/>
    </row>
    <row r="47" spans="1:6" x14ac:dyDescent="0.25">
      <c r="A47" s="46" t="s">
        <v>123</v>
      </c>
      <c r="B47" s="36"/>
      <c r="C47" s="36"/>
      <c r="D47" s="36"/>
      <c r="E47" s="36"/>
      <c r="F47" s="36"/>
    </row>
    <row r="48" spans="1:6" x14ac:dyDescent="0.25">
      <c r="A48" s="36"/>
      <c r="B48" s="36"/>
      <c r="C48" s="36"/>
      <c r="D48" s="36"/>
      <c r="E48" s="36"/>
      <c r="F48" s="36"/>
    </row>
    <row r="49" spans="1:6" x14ac:dyDescent="0.25">
      <c r="A49" s="46" t="s">
        <v>154</v>
      </c>
      <c r="B49" s="36"/>
      <c r="C49" s="36"/>
      <c r="D49" s="36"/>
      <c r="E49" s="36"/>
      <c r="F49" s="36"/>
    </row>
    <row r="50" spans="1:6" x14ac:dyDescent="0.25">
      <c r="A50" s="36"/>
      <c r="B50" s="36"/>
      <c r="C50" s="36"/>
      <c r="D50" s="36"/>
      <c r="E50" s="36"/>
      <c r="F50" s="36"/>
    </row>
    <row r="51" spans="1:6" x14ac:dyDescent="0.25">
      <c r="A51" s="46" t="s">
        <v>155</v>
      </c>
      <c r="B51" s="36"/>
      <c r="C51" s="36"/>
      <c r="D51" s="36"/>
      <c r="E51" s="36"/>
      <c r="F51" s="36"/>
    </row>
  </sheetData>
  <mergeCells count="1">
    <mergeCell ref="A1:F1"/>
  </mergeCells>
  <hyperlinks>
    <hyperlink ref="A47" r:id="rId1" xr:uid="{00000000-0004-0000-0E00-000000000000}"/>
    <hyperlink ref="A49" location="'Technical specifications'!A1" display="Technical specifications" xr:uid="{00000000-0004-0000-0E00-000001000000}"/>
    <hyperlink ref="A51" location="Contents!A1" display="Back to contents" xr:uid="{00000000-0004-0000-0E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1"/>
  <sheetViews>
    <sheetView workbookViewId="0">
      <selection sqref="A1:E1"/>
    </sheetView>
  </sheetViews>
  <sheetFormatPr defaultRowHeight="15" x14ac:dyDescent="0.25"/>
  <cols>
    <col min="1" max="1" width="17" customWidth="1"/>
    <col min="2" max="2" width="15" customWidth="1"/>
    <col min="3" max="5" width="12" customWidth="1"/>
  </cols>
  <sheetData>
    <row r="1" spans="1:5" ht="33.75" customHeight="1" x14ac:dyDescent="0.25">
      <c r="A1" s="73" t="s">
        <v>15</v>
      </c>
      <c r="B1" s="74"/>
      <c r="C1" s="74"/>
      <c r="D1" s="74"/>
      <c r="E1" s="74"/>
    </row>
    <row r="2" spans="1:5" x14ac:dyDescent="0.25">
      <c r="A2" s="37" t="s">
        <v>125</v>
      </c>
      <c r="B2" s="37" t="s">
        <v>222</v>
      </c>
      <c r="C2" s="38" t="s">
        <v>127</v>
      </c>
      <c r="D2" s="38" t="s">
        <v>128</v>
      </c>
      <c r="E2" s="38" t="s">
        <v>129</v>
      </c>
    </row>
    <row r="3" spans="1:5" x14ac:dyDescent="0.25">
      <c r="A3" s="39" t="s">
        <v>130</v>
      </c>
      <c r="B3" s="39" t="s">
        <v>170</v>
      </c>
      <c r="C3" s="40">
        <v>89315</v>
      </c>
      <c r="D3" s="40">
        <v>62099</v>
      </c>
      <c r="E3" s="40">
        <v>151437</v>
      </c>
    </row>
    <row r="4" spans="1:5" x14ac:dyDescent="0.25">
      <c r="A4" s="39" t="s">
        <v>130</v>
      </c>
      <c r="B4" s="39" t="s">
        <v>173</v>
      </c>
      <c r="C4" s="40">
        <v>142985</v>
      </c>
      <c r="D4" s="40">
        <v>111153</v>
      </c>
      <c r="E4" s="40">
        <v>254535</v>
      </c>
    </row>
    <row r="5" spans="1:5" x14ac:dyDescent="0.25">
      <c r="A5" s="39" t="s">
        <v>132</v>
      </c>
      <c r="B5" s="39" t="s">
        <v>170</v>
      </c>
      <c r="C5" s="40">
        <v>60181</v>
      </c>
      <c r="D5" s="40">
        <v>45174</v>
      </c>
      <c r="E5" s="40">
        <v>105365</v>
      </c>
    </row>
    <row r="6" spans="1:5" x14ac:dyDescent="0.25">
      <c r="A6" s="39" t="s">
        <v>132</v>
      </c>
      <c r="B6" s="39" t="s">
        <v>173</v>
      </c>
      <c r="C6" s="40">
        <v>37961</v>
      </c>
      <c r="D6" s="40">
        <v>30381</v>
      </c>
      <c r="E6" s="40">
        <v>68356</v>
      </c>
    </row>
    <row r="7" spans="1:5" x14ac:dyDescent="0.25">
      <c r="A7" s="39" t="s">
        <v>133</v>
      </c>
      <c r="B7" s="39" t="s">
        <v>170</v>
      </c>
      <c r="C7" s="40">
        <v>47692</v>
      </c>
      <c r="D7" s="40">
        <v>38210</v>
      </c>
      <c r="E7" s="40">
        <v>85925</v>
      </c>
    </row>
    <row r="8" spans="1:5" x14ac:dyDescent="0.25">
      <c r="A8" s="39" t="s">
        <v>133</v>
      </c>
      <c r="B8" s="39" t="s">
        <v>173</v>
      </c>
      <c r="C8" s="40">
        <v>33035</v>
      </c>
      <c r="D8" s="40">
        <v>27050</v>
      </c>
      <c r="E8" s="40">
        <v>60119</v>
      </c>
    </row>
    <row r="9" spans="1:5" x14ac:dyDescent="0.25">
      <c r="A9" s="39" t="s">
        <v>134</v>
      </c>
      <c r="B9" s="39" t="s">
        <v>170</v>
      </c>
      <c r="C9" s="40">
        <v>65241</v>
      </c>
      <c r="D9" s="40">
        <v>80072</v>
      </c>
      <c r="E9" s="40">
        <v>145427</v>
      </c>
    </row>
    <row r="10" spans="1:5" x14ac:dyDescent="0.25">
      <c r="A10" s="39" t="s">
        <v>134</v>
      </c>
      <c r="B10" s="39" t="s">
        <v>173</v>
      </c>
      <c r="C10" s="40">
        <v>40607</v>
      </c>
      <c r="D10" s="40">
        <v>50091</v>
      </c>
      <c r="E10" s="40">
        <v>90803</v>
      </c>
    </row>
    <row r="11" spans="1:5" x14ac:dyDescent="0.25">
      <c r="A11" s="39" t="s">
        <v>135</v>
      </c>
      <c r="B11" s="39" t="s">
        <v>170</v>
      </c>
      <c r="C11" s="40">
        <v>69835</v>
      </c>
      <c r="D11" s="40">
        <v>127127</v>
      </c>
      <c r="E11" s="40">
        <v>197115</v>
      </c>
    </row>
    <row r="12" spans="1:5" x14ac:dyDescent="0.25">
      <c r="A12" s="39" t="s">
        <v>135</v>
      </c>
      <c r="B12" s="39" t="s">
        <v>173</v>
      </c>
      <c r="C12" s="40">
        <v>42364</v>
      </c>
      <c r="D12" s="40">
        <v>83970</v>
      </c>
      <c r="E12" s="40">
        <v>126520</v>
      </c>
    </row>
    <row r="13" spans="1:5" x14ac:dyDescent="0.25">
      <c r="A13" s="39" t="s">
        <v>136</v>
      </c>
      <c r="B13" s="39" t="s">
        <v>170</v>
      </c>
      <c r="C13" s="40">
        <v>81562</v>
      </c>
      <c r="D13" s="40">
        <v>173661</v>
      </c>
      <c r="E13" s="40">
        <v>255370</v>
      </c>
    </row>
    <row r="14" spans="1:5" x14ac:dyDescent="0.25">
      <c r="A14" s="39" t="s">
        <v>136</v>
      </c>
      <c r="B14" s="39" t="s">
        <v>173</v>
      </c>
      <c r="C14" s="40">
        <v>45816</v>
      </c>
      <c r="D14" s="40">
        <v>144441</v>
      </c>
      <c r="E14" s="40">
        <v>190453</v>
      </c>
    </row>
    <row r="15" spans="1:5" x14ac:dyDescent="0.25">
      <c r="A15" s="39" t="s">
        <v>137</v>
      </c>
      <c r="B15" s="39" t="s">
        <v>170</v>
      </c>
      <c r="C15" s="40">
        <v>104319</v>
      </c>
      <c r="D15" s="40">
        <v>229824</v>
      </c>
      <c r="E15" s="40">
        <v>334432</v>
      </c>
    </row>
    <row r="16" spans="1:5" x14ac:dyDescent="0.25">
      <c r="A16" s="39" t="s">
        <v>137</v>
      </c>
      <c r="B16" s="39" t="s">
        <v>173</v>
      </c>
      <c r="C16" s="40">
        <v>54604</v>
      </c>
      <c r="D16" s="40">
        <v>199749</v>
      </c>
      <c r="E16" s="40">
        <v>254503</v>
      </c>
    </row>
    <row r="17" spans="1:5" x14ac:dyDescent="0.25">
      <c r="A17" s="39" t="s">
        <v>138</v>
      </c>
      <c r="B17" s="39" t="s">
        <v>170</v>
      </c>
      <c r="C17" s="40">
        <v>129573</v>
      </c>
      <c r="D17" s="40">
        <v>248742</v>
      </c>
      <c r="E17" s="40">
        <v>378546</v>
      </c>
    </row>
    <row r="18" spans="1:5" x14ac:dyDescent="0.25">
      <c r="A18" s="39" t="s">
        <v>138</v>
      </c>
      <c r="B18" s="39" t="s">
        <v>173</v>
      </c>
      <c r="C18" s="40">
        <v>61997</v>
      </c>
      <c r="D18" s="40">
        <v>159893</v>
      </c>
      <c r="E18" s="40">
        <v>222022</v>
      </c>
    </row>
    <row r="19" spans="1:5" x14ac:dyDescent="0.25">
      <c r="A19" s="39" t="s">
        <v>139</v>
      </c>
      <c r="B19" s="39" t="s">
        <v>170</v>
      </c>
      <c r="C19" s="40">
        <v>150299</v>
      </c>
      <c r="D19" s="40">
        <v>225741</v>
      </c>
      <c r="E19" s="40">
        <v>376560</v>
      </c>
    </row>
    <row r="20" spans="1:5" x14ac:dyDescent="0.25">
      <c r="A20" s="39" t="s">
        <v>139</v>
      </c>
      <c r="B20" s="39" t="s">
        <v>173</v>
      </c>
      <c r="C20" s="40">
        <v>71921</v>
      </c>
      <c r="D20" s="40">
        <v>104612</v>
      </c>
      <c r="E20" s="40">
        <v>176642</v>
      </c>
    </row>
    <row r="21" spans="1:5" x14ac:dyDescent="0.25">
      <c r="A21" s="39" t="s">
        <v>140</v>
      </c>
      <c r="B21" s="39" t="s">
        <v>170</v>
      </c>
      <c r="C21" s="40">
        <v>174002</v>
      </c>
      <c r="D21" s="40">
        <v>218182</v>
      </c>
      <c r="E21" s="40">
        <v>392893</v>
      </c>
    </row>
    <row r="22" spans="1:5" x14ac:dyDescent="0.25">
      <c r="A22" s="39" t="s">
        <v>140</v>
      </c>
      <c r="B22" s="39" t="s">
        <v>173</v>
      </c>
      <c r="C22" s="40">
        <v>78894</v>
      </c>
      <c r="D22" s="40">
        <v>90359</v>
      </c>
      <c r="E22" s="40">
        <v>169340</v>
      </c>
    </row>
    <row r="23" spans="1:5" x14ac:dyDescent="0.25">
      <c r="A23" s="39" t="s">
        <v>141</v>
      </c>
      <c r="B23" s="39" t="s">
        <v>170</v>
      </c>
      <c r="C23" s="40">
        <v>252968</v>
      </c>
      <c r="D23" s="40">
        <v>273343</v>
      </c>
      <c r="E23" s="40">
        <v>527020</v>
      </c>
    </row>
    <row r="24" spans="1:5" x14ac:dyDescent="0.25">
      <c r="A24" s="39" t="s">
        <v>141</v>
      </c>
      <c r="B24" s="39" t="s">
        <v>173</v>
      </c>
      <c r="C24" s="40">
        <v>103543</v>
      </c>
      <c r="D24" s="40">
        <v>108163</v>
      </c>
      <c r="E24" s="40">
        <v>211777</v>
      </c>
    </row>
    <row r="25" spans="1:5" x14ac:dyDescent="0.25">
      <c r="A25" s="39" t="s">
        <v>142</v>
      </c>
      <c r="B25" s="39" t="s">
        <v>170</v>
      </c>
      <c r="C25" s="40">
        <v>297050</v>
      </c>
      <c r="D25" s="40">
        <v>289120</v>
      </c>
      <c r="E25" s="40">
        <v>587164</v>
      </c>
    </row>
    <row r="26" spans="1:5" x14ac:dyDescent="0.25">
      <c r="A26" s="39" t="s">
        <v>142</v>
      </c>
      <c r="B26" s="39" t="s">
        <v>173</v>
      </c>
      <c r="C26" s="40">
        <v>121692</v>
      </c>
      <c r="D26" s="40">
        <v>110335</v>
      </c>
      <c r="E26" s="40">
        <v>232112</v>
      </c>
    </row>
    <row r="27" spans="1:5" x14ac:dyDescent="0.25">
      <c r="A27" s="39" t="s">
        <v>143</v>
      </c>
      <c r="B27" s="39" t="s">
        <v>170</v>
      </c>
      <c r="C27" s="40">
        <v>375350</v>
      </c>
      <c r="D27" s="40">
        <v>342744</v>
      </c>
      <c r="E27" s="40">
        <v>719175</v>
      </c>
    </row>
    <row r="28" spans="1:5" x14ac:dyDescent="0.25">
      <c r="A28" s="39" t="s">
        <v>143</v>
      </c>
      <c r="B28" s="39" t="s">
        <v>173</v>
      </c>
      <c r="C28" s="40">
        <v>153677</v>
      </c>
      <c r="D28" s="40">
        <v>132088</v>
      </c>
      <c r="E28" s="40">
        <v>285832</v>
      </c>
    </row>
    <row r="29" spans="1:5" x14ac:dyDescent="0.25">
      <c r="A29" s="39" t="s">
        <v>144</v>
      </c>
      <c r="B29" s="39" t="s">
        <v>170</v>
      </c>
      <c r="C29" s="40">
        <v>416264</v>
      </c>
      <c r="D29" s="40">
        <v>376624</v>
      </c>
      <c r="E29" s="40">
        <v>795117</v>
      </c>
    </row>
    <row r="30" spans="1:5" x14ac:dyDescent="0.25">
      <c r="A30" s="39" t="s">
        <v>144</v>
      </c>
      <c r="B30" s="39" t="s">
        <v>173</v>
      </c>
      <c r="C30" s="40">
        <v>173425</v>
      </c>
      <c r="D30" s="40">
        <v>148673</v>
      </c>
      <c r="E30" s="40">
        <v>322212</v>
      </c>
    </row>
    <row r="31" spans="1:5" x14ac:dyDescent="0.25">
      <c r="A31" s="39" t="s">
        <v>145</v>
      </c>
      <c r="B31" s="39" t="s">
        <v>170</v>
      </c>
      <c r="C31" s="40">
        <v>445609</v>
      </c>
      <c r="D31" s="40">
        <v>379553</v>
      </c>
      <c r="E31" s="40">
        <v>826841</v>
      </c>
    </row>
    <row r="32" spans="1:5" x14ac:dyDescent="0.25">
      <c r="A32" s="39" t="s">
        <v>145</v>
      </c>
      <c r="B32" s="39" t="s">
        <v>173</v>
      </c>
      <c r="C32" s="40">
        <v>190123</v>
      </c>
      <c r="D32" s="40">
        <v>165359</v>
      </c>
      <c r="E32" s="40">
        <v>355568</v>
      </c>
    </row>
    <row r="33" spans="1:5" x14ac:dyDescent="0.25">
      <c r="A33" s="39" t="s">
        <v>146</v>
      </c>
      <c r="B33" s="39" t="s">
        <v>170</v>
      </c>
      <c r="C33" s="40">
        <v>470998</v>
      </c>
      <c r="D33" s="40">
        <v>360546</v>
      </c>
      <c r="E33" s="40">
        <v>833238</v>
      </c>
    </row>
    <row r="34" spans="1:5" x14ac:dyDescent="0.25">
      <c r="A34" s="39" t="s">
        <v>146</v>
      </c>
      <c r="B34" s="39" t="s">
        <v>173</v>
      </c>
      <c r="C34" s="40">
        <v>206800</v>
      </c>
      <c r="D34" s="40">
        <v>185772</v>
      </c>
      <c r="E34" s="40">
        <v>392660</v>
      </c>
    </row>
    <row r="35" spans="1:5" x14ac:dyDescent="0.25">
      <c r="A35" s="39" t="s">
        <v>147</v>
      </c>
      <c r="B35" s="39" t="s">
        <v>170</v>
      </c>
      <c r="C35" s="40">
        <v>314949</v>
      </c>
      <c r="D35" s="40">
        <v>220371</v>
      </c>
      <c r="E35" s="40">
        <v>536301</v>
      </c>
    </row>
    <row r="36" spans="1:5" x14ac:dyDescent="0.25">
      <c r="A36" s="39" t="s">
        <v>147</v>
      </c>
      <c r="B36" s="39" t="s">
        <v>173</v>
      </c>
      <c r="C36" s="40">
        <v>165369</v>
      </c>
      <c r="D36" s="40">
        <v>160799</v>
      </c>
      <c r="E36" s="40">
        <v>326265</v>
      </c>
    </row>
    <row r="37" spans="1:5" x14ac:dyDescent="0.25">
      <c r="A37" s="39" t="s">
        <v>148</v>
      </c>
      <c r="B37" s="39" t="s">
        <v>170</v>
      </c>
      <c r="C37" s="40">
        <v>147174</v>
      </c>
      <c r="D37" s="40">
        <v>109477</v>
      </c>
      <c r="E37" s="40">
        <v>256893</v>
      </c>
    </row>
    <row r="38" spans="1:5" x14ac:dyDescent="0.25">
      <c r="A38" s="39" t="s">
        <v>148</v>
      </c>
      <c r="B38" s="39" t="s">
        <v>173</v>
      </c>
      <c r="C38" s="40">
        <v>114384</v>
      </c>
      <c r="D38" s="40">
        <v>128398</v>
      </c>
      <c r="E38" s="40">
        <v>242841</v>
      </c>
    </row>
    <row r="39" spans="1:5" x14ac:dyDescent="0.25">
      <c r="A39" s="39" t="s">
        <v>149</v>
      </c>
      <c r="B39" s="39" t="s">
        <v>170</v>
      </c>
      <c r="C39" s="40">
        <v>37525</v>
      </c>
      <c r="D39" s="40">
        <v>36467</v>
      </c>
      <c r="E39" s="40">
        <v>74021</v>
      </c>
    </row>
    <row r="40" spans="1:5" x14ac:dyDescent="0.25">
      <c r="A40" s="39" t="s">
        <v>149</v>
      </c>
      <c r="B40" s="39" t="s">
        <v>173</v>
      </c>
      <c r="C40" s="40">
        <v>52629</v>
      </c>
      <c r="D40" s="40">
        <v>70461</v>
      </c>
      <c r="E40" s="40">
        <v>123118</v>
      </c>
    </row>
    <row r="41" spans="1:5" x14ac:dyDescent="0.25">
      <c r="A41" s="39" t="s">
        <v>150</v>
      </c>
      <c r="B41" s="39" t="s">
        <v>170</v>
      </c>
      <c r="C41" s="40">
        <v>7021</v>
      </c>
      <c r="D41" s="40">
        <v>9903</v>
      </c>
      <c r="E41" s="40">
        <v>16941</v>
      </c>
    </row>
    <row r="42" spans="1:5" x14ac:dyDescent="0.25">
      <c r="A42" s="39" t="s">
        <v>150</v>
      </c>
      <c r="B42" s="39" t="s">
        <v>173</v>
      </c>
      <c r="C42" s="40">
        <v>14870</v>
      </c>
      <c r="D42" s="40">
        <v>26225</v>
      </c>
      <c r="E42" s="40">
        <v>41105</v>
      </c>
    </row>
    <row r="43" spans="1:5" x14ac:dyDescent="0.25">
      <c r="A43" s="41" t="s">
        <v>151</v>
      </c>
      <c r="B43" s="41" t="s">
        <v>170</v>
      </c>
      <c r="C43" s="42">
        <v>3736938</v>
      </c>
      <c r="D43" s="42">
        <v>3846984</v>
      </c>
      <c r="E43" s="42">
        <v>7595952</v>
      </c>
    </row>
    <row r="44" spans="1:5" x14ac:dyDescent="0.25">
      <c r="A44" s="43" t="s">
        <v>151</v>
      </c>
      <c r="B44" s="43" t="s">
        <v>173</v>
      </c>
      <c r="C44" s="44">
        <v>1906706</v>
      </c>
      <c r="D44" s="44">
        <v>2237975</v>
      </c>
      <c r="E44" s="44">
        <v>4146870</v>
      </c>
    </row>
    <row r="45" spans="1:5" x14ac:dyDescent="0.25">
      <c r="A45" s="45"/>
      <c r="B45" s="36"/>
      <c r="C45" s="36"/>
      <c r="D45" s="36"/>
      <c r="E45" s="36"/>
    </row>
    <row r="46" spans="1:5" x14ac:dyDescent="0.25">
      <c r="A46" s="36" t="s">
        <v>153</v>
      </c>
      <c r="B46" s="36"/>
      <c r="C46" s="36"/>
      <c r="D46" s="36"/>
      <c r="E46" s="36"/>
    </row>
    <row r="47" spans="1:5" x14ac:dyDescent="0.25">
      <c r="A47" s="46" t="s">
        <v>123</v>
      </c>
      <c r="B47" s="36"/>
      <c r="C47" s="36"/>
      <c r="D47" s="36"/>
      <c r="E47" s="36"/>
    </row>
    <row r="48" spans="1:5" x14ac:dyDescent="0.25">
      <c r="A48" s="36"/>
      <c r="B48" s="36"/>
      <c r="C48" s="36"/>
      <c r="D48" s="36"/>
      <c r="E48" s="36"/>
    </row>
    <row r="49" spans="1:5" x14ac:dyDescent="0.25">
      <c r="A49" s="46" t="s">
        <v>154</v>
      </c>
      <c r="B49" s="36"/>
      <c r="C49" s="36"/>
      <c r="D49" s="36"/>
      <c r="E49" s="36"/>
    </row>
    <row r="50" spans="1:5" x14ac:dyDescent="0.25">
      <c r="A50" s="36"/>
      <c r="B50" s="36"/>
      <c r="C50" s="36"/>
      <c r="D50" s="36"/>
      <c r="E50" s="36"/>
    </row>
    <row r="51" spans="1:5" x14ac:dyDescent="0.25">
      <c r="A51" s="46" t="s">
        <v>155</v>
      </c>
      <c r="B51" s="36"/>
      <c r="C51" s="36"/>
      <c r="D51" s="36"/>
      <c r="E51" s="36"/>
    </row>
  </sheetData>
  <mergeCells count="1">
    <mergeCell ref="A1:E1"/>
  </mergeCells>
  <hyperlinks>
    <hyperlink ref="A47" r:id="rId1" xr:uid="{00000000-0004-0000-0F00-000000000000}"/>
    <hyperlink ref="A49" location="'Technical specifications'!A1" display="Technical specifications" xr:uid="{00000000-0004-0000-0F00-000001000000}"/>
    <hyperlink ref="A51" location="Contents!A1" display="Back to contents" xr:uid="{00000000-0004-0000-0F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3"/>
  <sheetViews>
    <sheetView workbookViewId="0">
      <selection sqref="A1:M1"/>
    </sheetView>
  </sheetViews>
  <sheetFormatPr defaultRowHeight="15" x14ac:dyDescent="0.25"/>
  <cols>
    <col min="1" max="1" width="17" customWidth="1"/>
    <col min="2" max="2" width="30" customWidth="1"/>
    <col min="3" max="3" width="35" customWidth="1"/>
    <col min="4" max="4" width="30" customWidth="1"/>
    <col min="5" max="13" width="10" customWidth="1"/>
  </cols>
  <sheetData>
    <row r="1" spans="1:13" ht="33.75" customHeight="1" x14ac:dyDescent="0.25">
      <c r="A1" s="73" t="s">
        <v>16</v>
      </c>
      <c r="B1" s="74"/>
      <c r="C1" s="74"/>
      <c r="D1" s="74"/>
      <c r="E1" s="74"/>
      <c r="F1" s="74"/>
      <c r="G1" s="74"/>
      <c r="H1" s="74"/>
      <c r="I1" s="74"/>
      <c r="J1" s="74"/>
      <c r="K1" s="74"/>
      <c r="L1" s="74"/>
      <c r="M1" s="74"/>
    </row>
    <row r="2" spans="1:13" x14ac:dyDescent="0.25">
      <c r="A2" s="37" t="s">
        <v>180</v>
      </c>
      <c r="B2" s="37" t="s">
        <v>156</v>
      </c>
      <c r="C2" s="37" t="s">
        <v>157</v>
      </c>
      <c r="D2" s="37" t="s">
        <v>126</v>
      </c>
      <c r="E2" s="38" t="s">
        <v>208</v>
      </c>
      <c r="F2" s="38" t="s">
        <v>209</v>
      </c>
      <c r="G2" s="38" t="s">
        <v>210</v>
      </c>
      <c r="H2" s="38" t="s">
        <v>211</v>
      </c>
      <c r="I2" s="38" t="s">
        <v>212</v>
      </c>
      <c r="J2" s="38" t="s">
        <v>213</v>
      </c>
      <c r="K2" s="38" t="s">
        <v>214</v>
      </c>
      <c r="L2" s="38" t="s">
        <v>215</v>
      </c>
      <c r="M2" s="38" t="s">
        <v>151</v>
      </c>
    </row>
    <row r="3" spans="1:13" x14ac:dyDescent="0.25">
      <c r="A3" s="39" t="s">
        <v>158</v>
      </c>
      <c r="B3" s="39" t="s">
        <v>161</v>
      </c>
      <c r="C3" s="39" t="s">
        <v>162</v>
      </c>
      <c r="D3" s="39" t="s">
        <v>131</v>
      </c>
      <c r="E3" s="40">
        <v>119199</v>
      </c>
      <c r="F3" s="40">
        <v>40421</v>
      </c>
      <c r="G3" s="40">
        <v>153721</v>
      </c>
      <c r="H3" s="40">
        <v>74810</v>
      </c>
      <c r="I3" s="40">
        <v>35060</v>
      </c>
      <c r="J3" s="40">
        <v>11094</v>
      </c>
      <c r="K3" s="40">
        <v>5716</v>
      </c>
      <c r="L3" s="40">
        <v>123408</v>
      </c>
      <c r="M3" s="40">
        <v>563429</v>
      </c>
    </row>
    <row r="4" spans="1:13" x14ac:dyDescent="0.25">
      <c r="A4" s="39" t="s">
        <v>158</v>
      </c>
      <c r="B4" s="39" t="s">
        <v>161</v>
      </c>
      <c r="C4" s="39" t="s">
        <v>163</v>
      </c>
      <c r="D4" s="39" t="s">
        <v>131</v>
      </c>
      <c r="E4" s="40">
        <v>2093</v>
      </c>
      <c r="F4" s="40">
        <v>1368</v>
      </c>
      <c r="G4" s="40">
        <v>16507</v>
      </c>
      <c r="H4" s="40">
        <v>714</v>
      </c>
      <c r="I4" s="40">
        <v>553</v>
      </c>
      <c r="J4" s="40">
        <v>388</v>
      </c>
      <c r="K4" s="40">
        <v>149</v>
      </c>
      <c r="L4" s="40">
        <v>678</v>
      </c>
      <c r="M4" s="40">
        <v>22450</v>
      </c>
    </row>
    <row r="5" spans="1:13" x14ac:dyDescent="0.25">
      <c r="A5" s="39" t="s">
        <v>158</v>
      </c>
      <c r="B5" s="39" t="s">
        <v>161</v>
      </c>
      <c r="C5" s="39" t="s">
        <v>164</v>
      </c>
      <c r="D5" s="39" t="s">
        <v>131</v>
      </c>
      <c r="E5" s="40">
        <v>3192</v>
      </c>
      <c r="F5" s="40">
        <v>3436</v>
      </c>
      <c r="G5" s="40">
        <v>17268</v>
      </c>
      <c r="H5" s="40">
        <v>2127</v>
      </c>
      <c r="I5" s="40">
        <v>1216</v>
      </c>
      <c r="J5" s="40">
        <v>1365</v>
      </c>
      <c r="K5" s="40">
        <v>287</v>
      </c>
      <c r="L5" s="40">
        <v>1253</v>
      </c>
      <c r="M5" s="40">
        <v>30144</v>
      </c>
    </row>
    <row r="6" spans="1:13" x14ac:dyDescent="0.25">
      <c r="A6" s="47" t="s">
        <v>158</v>
      </c>
      <c r="B6" s="47" t="s">
        <v>161</v>
      </c>
      <c r="C6" s="47" t="s">
        <v>151</v>
      </c>
      <c r="D6" s="47" t="s">
        <v>131</v>
      </c>
      <c r="E6" s="48">
        <v>124484</v>
      </c>
      <c r="F6" s="48">
        <v>45225</v>
      </c>
      <c r="G6" s="48">
        <v>187496</v>
      </c>
      <c r="H6" s="48">
        <v>77651</v>
      </c>
      <c r="I6" s="48">
        <v>36829</v>
      </c>
      <c r="J6" s="48">
        <v>12847</v>
      </c>
      <c r="K6" s="48">
        <v>6152</v>
      </c>
      <c r="L6" s="48">
        <v>125339</v>
      </c>
      <c r="M6" s="48">
        <v>616023</v>
      </c>
    </row>
    <row r="7" spans="1:13" x14ac:dyDescent="0.25">
      <c r="A7" s="39" t="s">
        <v>158</v>
      </c>
      <c r="B7" s="39" t="s">
        <v>165</v>
      </c>
      <c r="C7" s="39" t="s">
        <v>166</v>
      </c>
      <c r="D7" s="39" t="s">
        <v>131</v>
      </c>
      <c r="E7" s="40">
        <v>1829118</v>
      </c>
      <c r="F7" s="40">
        <v>2060080</v>
      </c>
      <c r="G7" s="40">
        <v>1630622</v>
      </c>
      <c r="H7" s="40">
        <v>618484</v>
      </c>
      <c r="I7" s="40">
        <v>459334</v>
      </c>
      <c r="J7" s="40">
        <v>163370</v>
      </c>
      <c r="K7" s="40">
        <v>149072</v>
      </c>
      <c r="L7" s="40">
        <v>54597</v>
      </c>
      <c r="M7" s="40">
        <v>6964677</v>
      </c>
    </row>
    <row r="8" spans="1:13" x14ac:dyDescent="0.25">
      <c r="A8" s="39" t="s">
        <v>158</v>
      </c>
      <c r="B8" s="39" t="s">
        <v>167</v>
      </c>
      <c r="C8" s="39" t="s">
        <v>167</v>
      </c>
      <c r="D8" s="39" t="s">
        <v>131</v>
      </c>
      <c r="E8" s="40">
        <v>13877</v>
      </c>
      <c r="F8" s="40">
        <v>32240</v>
      </c>
      <c r="G8" s="40">
        <v>3863</v>
      </c>
      <c r="H8" s="49" t="s">
        <v>223</v>
      </c>
      <c r="I8" s="40">
        <v>14826</v>
      </c>
      <c r="J8" s="40">
        <v>1840</v>
      </c>
      <c r="K8" s="40">
        <v>4179</v>
      </c>
      <c r="L8" s="40">
        <v>27</v>
      </c>
      <c r="M8" s="40">
        <v>70852</v>
      </c>
    </row>
    <row r="9" spans="1:13" x14ac:dyDescent="0.25">
      <c r="A9" s="41" t="s">
        <v>158</v>
      </c>
      <c r="B9" s="41" t="s">
        <v>151</v>
      </c>
      <c r="C9" s="41" t="s">
        <v>151</v>
      </c>
      <c r="D9" s="41" t="s">
        <v>131</v>
      </c>
      <c r="E9" s="42">
        <v>1967479</v>
      </c>
      <c r="F9" s="42">
        <v>2137545</v>
      </c>
      <c r="G9" s="42">
        <v>1821981</v>
      </c>
      <c r="H9" s="42">
        <v>696135</v>
      </c>
      <c r="I9" s="42">
        <v>510989</v>
      </c>
      <c r="J9" s="42">
        <v>178057</v>
      </c>
      <c r="K9" s="42">
        <v>159403</v>
      </c>
      <c r="L9" s="42">
        <v>179963</v>
      </c>
      <c r="M9" s="42">
        <v>7651552</v>
      </c>
    </row>
    <row r="10" spans="1:13" x14ac:dyDescent="0.25">
      <c r="A10" s="39" t="s">
        <v>159</v>
      </c>
      <c r="B10" s="39" t="s">
        <v>161</v>
      </c>
      <c r="C10" s="39" t="s">
        <v>162</v>
      </c>
      <c r="D10" s="39" t="s">
        <v>131</v>
      </c>
      <c r="E10" s="40">
        <v>18568</v>
      </c>
      <c r="F10" s="40">
        <v>3829</v>
      </c>
      <c r="G10" s="40">
        <v>18680</v>
      </c>
      <c r="H10" s="40">
        <v>39457</v>
      </c>
      <c r="I10" s="40">
        <v>3848</v>
      </c>
      <c r="J10" s="63" t="s">
        <v>238</v>
      </c>
      <c r="K10" s="63" t="s">
        <v>187</v>
      </c>
      <c r="L10" s="63" t="s">
        <v>238</v>
      </c>
      <c r="M10" s="40">
        <v>88051</v>
      </c>
    </row>
    <row r="11" spans="1:13" x14ac:dyDescent="0.25">
      <c r="A11" s="39" t="s">
        <v>159</v>
      </c>
      <c r="B11" s="39" t="s">
        <v>161</v>
      </c>
      <c r="C11" s="39" t="s">
        <v>163</v>
      </c>
      <c r="D11" s="39" t="s">
        <v>131</v>
      </c>
      <c r="E11" s="40">
        <v>791</v>
      </c>
      <c r="F11" s="40">
        <v>501</v>
      </c>
      <c r="G11" s="40">
        <v>3333</v>
      </c>
      <c r="H11" s="40">
        <v>578</v>
      </c>
      <c r="I11" s="40">
        <v>295</v>
      </c>
      <c r="J11" s="63" t="s">
        <v>238</v>
      </c>
      <c r="K11" s="63" t="s">
        <v>187</v>
      </c>
      <c r="L11" s="63" t="s">
        <v>238</v>
      </c>
      <c r="M11" s="40">
        <v>5662</v>
      </c>
    </row>
    <row r="12" spans="1:13" x14ac:dyDescent="0.25">
      <c r="A12" s="39" t="s">
        <v>159</v>
      </c>
      <c r="B12" s="39" t="s">
        <v>161</v>
      </c>
      <c r="C12" s="39" t="s">
        <v>164</v>
      </c>
      <c r="D12" s="39" t="s">
        <v>131</v>
      </c>
      <c r="E12" s="40">
        <v>1208</v>
      </c>
      <c r="F12" s="40">
        <v>882</v>
      </c>
      <c r="G12" s="40">
        <v>2465</v>
      </c>
      <c r="H12" s="40">
        <v>782</v>
      </c>
      <c r="I12" s="40">
        <v>290</v>
      </c>
      <c r="J12" s="63" t="s">
        <v>238</v>
      </c>
      <c r="K12" s="63" t="s">
        <v>187</v>
      </c>
      <c r="L12" s="63" t="s">
        <v>238</v>
      </c>
      <c r="M12" s="40">
        <v>5982</v>
      </c>
    </row>
    <row r="13" spans="1:13" x14ac:dyDescent="0.25">
      <c r="A13" s="47" t="s">
        <v>159</v>
      </c>
      <c r="B13" s="47" t="s">
        <v>161</v>
      </c>
      <c r="C13" s="47" t="s">
        <v>151</v>
      </c>
      <c r="D13" s="47" t="s">
        <v>131</v>
      </c>
      <c r="E13" s="48">
        <v>20567</v>
      </c>
      <c r="F13" s="48">
        <v>5212</v>
      </c>
      <c r="G13" s="48">
        <v>24478</v>
      </c>
      <c r="H13" s="48">
        <v>40817</v>
      </c>
      <c r="I13" s="48">
        <v>4433</v>
      </c>
      <c r="J13" s="68" t="s">
        <v>238</v>
      </c>
      <c r="K13" s="68" t="s">
        <v>187</v>
      </c>
      <c r="L13" s="68" t="s">
        <v>238</v>
      </c>
      <c r="M13" s="48">
        <v>99695</v>
      </c>
    </row>
    <row r="14" spans="1:13" x14ac:dyDescent="0.25">
      <c r="A14" s="39" t="s">
        <v>159</v>
      </c>
      <c r="B14" s="39" t="s">
        <v>165</v>
      </c>
      <c r="C14" s="39" t="s">
        <v>166</v>
      </c>
      <c r="D14" s="39" t="s">
        <v>131</v>
      </c>
      <c r="E14" s="40">
        <v>1453894</v>
      </c>
      <c r="F14" s="40">
        <v>1105748</v>
      </c>
      <c r="G14" s="40">
        <v>1213231</v>
      </c>
      <c r="H14" s="40">
        <v>549349</v>
      </c>
      <c r="I14" s="40">
        <v>354248</v>
      </c>
      <c r="J14" s="63" t="s">
        <v>238</v>
      </c>
      <c r="K14" s="63" t="s">
        <v>187</v>
      </c>
      <c r="L14" s="63" t="s">
        <v>238</v>
      </c>
      <c r="M14" s="40">
        <v>4787708</v>
      </c>
    </row>
    <row r="15" spans="1:13" x14ac:dyDescent="0.25">
      <c r="A15" s="39" t="s">
        <v>159</v>
      </c>
      <c r="B15" s="39" t="s">
        <v>167</v>
      </c>
      <c r="C15" s="39" t="s">
        <v>167</v>
      </c>
      <c r="D15" s="39" t="s">
        <v>131</v>
      </c>
      <c r="E15" s="40">
        <v>90622</v>
      </c>
      <c r="F15" s="40">
        <v>18510</v>
      </c>
      <c r="G15" s="40">
        <v>95088</v>
      </c>
      <c r="H15" s="49" t="s">
        <v>223</v>
      </c>
      <c r="I15" s="40">
        <v>23248</v>
      </c>
      <c r="J15" s="63" t="s">
        <v>238</v>
      </c>
      <c r="K15" s="63" t="s">
        <v>187</v>
      </c>
      <c r="L15" s="63" t="s">
        <v>238</v>
      </c>
      <c r="M15" s="40">
        <v>237749</v>
      </c>
    </row>
    <row r="16" spans="1:13" x14ac:dyDescent="0.25">
      <c r="A16" s="41" t="s">
        <v>159</v>
      </c>
      <c r="B16" s="41" t="s">
        <v>151</v>
      </c>
      <c r="C16" s="41" t="s">
        <v>151</v>
      </c>
      <c r="D16" s="41" t="s">
        <v>131</v>
      </c>
      <c r="E16" s="42">
        <v>1565083</v>
      </c>
      <c r="F16" s="42">
        <v>1129470</v>
      </c>
      <c r="G16" s="42">
        <v>1332797</v>
      </c>
      <c r="H16" s="42">
        <v>590166</v>
      </c>
      <c r="I16" s="42">
        <v>381929</v>
      </c>
      <c r="J16" s="61" t="s">
        <v>238</v>
      </c>
      <c r="K16" s="61" t="s">
        <v>187</v>
      </c>
      <c r="L16" s="61" t="s">
        <v>238</v>
      </c>
      <c r="M16" s="42">
        <v>5125152</v>
      </c>
    </row>
    <row r="17" spans="1:13" x14ac:dyDescent="0.25">
      <c r="A17" s="39" t="s">
        <v>160</v>
      </c>
      <c r="B17" s="39" t="s">
        <v>161</v>
      </c>
      <c r="C17" s="39"/>
      <c r="D17" s="39" t="s">
        <v>131</v>
      </c>
      <c r="E17" s="40">
        <v>145051</v>
      </c>
      <c r="F17" s="40">
        <v>50437</v>
      </c>
      <c r="G17" s="40">
        <v>211974</v>
      </c>
      <c r="H17" s="40">
        <v>118468</v>
      </c>
      <c r="I17" s="40">
        <v>41262</v>
      </c>
      <c r="J17" s="63" t="s">
        <v>238</v>
      </c>
      <c r="K17" s="63" t="s">
        <v>187</v>
      </c>
      <c r="L17" s="63" t="s">
        <v>238</v>
      </c>
      <c r="M17" s="40">
        <v>715718</v>
      </c>
    </row>
    <row r="18" spans="1:13" x14ac:dyDescent="0.25">
      <c r="A18" s="39" t="s">
        <v>160</v>
      </c>
      <c r="B18" s="39" t="s">
        <v>169</v>
      </c>
      <c r="C18" s="39"/>
      <c r="D18" s="39" t="s">
        <v>131</v>
      </c>
      <c r="E18" s="40">
        <v>3387511</v>
      </c>
      <c r="F18" s="40">
        <v>3216578</v>
      </c>
      <c r="G18" s="40">
        <v>2942804</v>
      </c>
      <c r="H18" s="40">
        <v>1167833</v>
      </c>
      <c r="I18" s="40">
        <v>851656</v>
      </c>
      <c r="J18" s="63" t="s">
        <v>238</v>
      </c>
      <c r="K18" s="63" t="s">
        <v>187</v>
      </c>
      <c r="L18" s="63" t="s">
        <v>238</v>
      </c>
      <c r="M18" s="40">
        <v>12060986</v>
      </c>
    </row>
    <row r="19" spans="1:13" x14ac:dyDescent="0.25">
      <c r="A19" s="41" t="s">
        <v>160</v>
      </c>
      <c r="B19" s="41" t="s">
        <v>224</v>
      </c>
      <c r="C19" s="41"/>
      <c r="D19" s="41" t="s">
        <v>131</v>
      </c>
      <c r="E19" s="42">
        <v>3532562</v>
      </c>
      <c r="F19" s="42">
        <v>3267015</v>
      </c>
      <c r="G19" s="42">
        <v>3154778</v>
      </c>
      <c r="H19" s="42">
        <v>1286301</v>
      </c>
      <c r="I19" s="42">
        <v>892918</v>
      </c>
      <c r="J19" s="61" t="s">
        <v>238</v>
      </c>
      <c r="K19" s="61" t="s">
        <v>187</v>
      </c>
      <c r="L19" s="61" t="s">
        <v>238</v>
      </c>
      <c r="M19" s="42">
        <v>12776704</v>
      </c>
    </row>
    <row r="20" spans="1:13" x14ac:dyDescent="0.25">
      <c r="A20" s="39" t="s">
        <v>160</v>
      </c>
      <c r="B20" s="39" t="s">
        <v>161</v>
      </c>
      <c r="C20" s="39"/>
      <c r="D20" s="39" t="s">
        <v>176</v>
      </c>
      <c r="E20" s="49">
        <v>564.91703871000004</v>
      </c>
      <c r="F20" s="49">
        <v>849.71653344000003</v>
      </c>
      <c r="G20" s="49">
        <v>1043.9354245</v>
      </c>
      <c r="H20" s="49">
        <v>1412.6779922999999</v>
      </c>
      <c r="I20" s="49">
        <v>1113.9389060999999</v>
      </c>
      <c r="J20" s="49">
        <v>622.42880761000004</v>
      </c>
      <c r="K20" s="49">
        <v>894.19657603999997</v>
      </c>
      <c r="L20" s="49">
        <v>2249.8041220999999</v>
      </c>
      <c r="M20" s="49">
        <v>984.43040574999998</v>
      </c>
    </row>
    <row r="21" spans="1:13" x14ac:dyDescent="0.25">
      <c r="A21" s="39" t="s">
        <v>160</v>
      </c>
      <c r="B21" s="39" t="s">
        <v>169</v>
      </c>
      <c r="C21" s="39"/>
      <c r="D21" s="39" t="s">
        <v>176</v>
      </c>
      <c r="E21" s="49">
        <v>414.31464892000002</v>
      </c>
      <c r="F21" s="49">
        <v>482.71641290000002</v>
      </c>
      <c r="G21" s="49">
        <v>555.50696641000002</v>
      </c>
      <c r="H21" s="49">
        <v>423.46938667000001</v>
      </c>
      <c r="I21" s="49">
        <v>439.82214697000001</v>
      </c>
      <c r="J21" s="49">
        <v>518.72249356999998</v>
      </c>
      <c r="K21" s="49">
        <v>415.24257009000002</v>
      </c>
      <c r="L21" s="49">
        <v>421.43600223999999</v>
      </c>
      <c r="M21" s="49">
        <v>463.32329499000002</v>
      </c>
    </row>
    <row r="22" spans="1:13" x14ac:dyDescent="0.25">
      <c r="A22" s="41" t="s">
        <v>160</v>
      </c>
      <c r="B22" s="41" t="s">
        <v>224</v>
      </c>
      <c r="C22" s="41"/>
      <c r="D22" s="41" t="s">
        <v>176</v>
      </c>
      <c r="E22" s="51">
        <v>369.65180838999999</v>
      </c>
      <c r="F22" s="51">
        <v>430.47755575999997</v>
      </c>
      <c r="G22" s="51">
        <v>516.68574719000003</v>
      </c>
      <c r="H22" s="51">
        <v>403.61126467000003</v>
      </c>
      <c r="I22" s="51">
        <v>400.35112373999999</v>
      </c>
      <c r="J22" s="51">
        <v>524.67059624000001</v>
      </c>
      <c r="K22" s="51">
        <v>423.33559948999999</v>
      </c>
      <c r="L22" s="51">
        <v>817.43531723000001</v>
      </c>
      <c r="M22" s="51">
        <v>425.05436514000002</v>
      </c>
    </row>
    <row r="23" spans="1:13" x14ac:dyDescent="0.25">
      <c r="A23" s="43" t="s">
        <v>160</v>
      </c>
      <c r="B23" s="43" t="s">
        <v>224</v>
      </c>
      <c r="C23" s="43"/>
      <c r="D23" s="43" t="s">
        <v>186</v>
      </c>
      <c r="E23" s="52">
        <f>E20/E21</f>
        <v>1.3634976223567703</v>
      </c>
      <c r="F23" s="52">
        <f t="shared" ref="F23:M23" si="0">F20/F21</f>
        <v>1.7602810070931401</v>
      </c>
      <c r="G23" s="52">
        <f t="shared" si="0"/>
        <v>1.8792481240091383</v>
      </c>
      <c r="H23" s="52">
        <f t="shared" si="0"/>
        <v>3.3359624963890662</v>
      </c>
      <c r="I23" s="52">
        <f t="shared" si="0"/>
        <v>2.5327030795836234</v>
      </c>
      <c r="J23" s="52">
        <f t="shared" si="0"/>
        <v>1.1999263870865959</v>
      </c>
      <c r="K23" s="52">
        <f t="shared" si="0"/>
        <v>2.1534318503186971</v>
      </c>
      <c r="L23" s="52">
        <f t="shared" si="0"/>
        <v>5.3384241264199783</v>
      </c>
      <c r="M23" s="52">
        <f t="shared" si="0"/>
        <v>2.1247159734786205</v>
      </c>
    </row>
    <row r="24" spans="1:13" x14ac:dyDescent="0.25">
      <c r="A24" s="75" t="s">
        <v>225</v>
      </c>
      <c r="B24" s="76"/>
      <c r="C24" s="76"/>
      <c r="D24" s="76"/>
      <c r="E24" s="76"/>
      <c r="F24" s="76"/>
      <c r="G24" s="76"/>
      <c r="H24" s="76"/>
      <c r="I24" s="76"/>
      <c r="J24" s="76"/>
      <c r="K24" s="76"/>
      <c r="L24" s="76"/>
      <c r="M24" s="76"/>
    </row>
    <row r="25" spans="1:13" x14ac:dyDescent="0.25">
      <c r="A25" s="75" t="s">
        <v>226</v>
      </c>
      <c r="B25" s="76"/>
      <c r="C25" s="76"/>
      <c r="D25" s="76"/>
      <c r="E25" s="76"/>
      <c r="F25" s="76"/>
      <c r="G25" s="76"/>
      <c r="H25" s="76"/>
      <c r="I25" s="76"/>
      <c r="J25" s="76"/>
      <c r="K25" s="76"/>
      <c r="L25" s="76"/>
      <c r="M25" s="76"/>
    </row>
    <row r="26" spans="1:13" x14ac:dyDescent="0.25">
      <c r="A26" s="75" t="s">
        <v>227</v>
      </c>
      <c r="B26" s="76"/>
      <c r="C26" s="76"/>
      <c r="D26" s="76"/>
      <c r="E26" s="76"/>
      <c r="F26" s="76"/>
      <c r="G26" s="76"/>
      <c r="H26" s="76"/>
      <c r="I26" s="76"/>
      <c r="J26" s="76"/>
      <c r="K26" s="76"/>
      <c r="L26" s="76"/>
      <c r="M26" s="76"/>
    </row>
    <row r="27" spans="1:13" x14ac:dyDescent="0.25">
      <c r="A27" s="45"/>
      <c r="B27" s="36"/>
      <c r="C27" s="36"/>
      <c r="D27" s="36"/>
      <c r="E27" s="36"/>
      <c r="F27" s="36"/>
      <c r="G27" s="36"/>
      <c r="H27" s="36"/>
      <c r="I27" s="36"/>
      <c r="J27" s="36"/>
      <c r="K27" s="36"/>
      <c r="L27" s="36"/>
      <c r="M27" s="36"/>
    </row>
    <row r="28" spans="1:13" x14ac:dyDescent="0.25">
      <c r="A28" s="36" t="s">
        <v>153</v>
      </c>
      <c r="B28" s="36"/>
      <c r="C28" s="36"/>
      <c r="D28" s="36"/>
      <c r="E28" s="36"/>
      <c r="F28" s="36"/>
      <c r="G28" s="36"/>
      <c r="H28" s="36"/>
      <c r="I28" s="36"/>
      <c r="J28" s="36"/>
      <c r="K28" s="36"/>
      <c r="L28" s="36"/>
      <c r="M28" s="36"/>
    </row>
    <row r="29" spans="1:13" x14ac:dyDescent="0.25">
      <c r="A29" s="46" t="s">
        <v>123</v>
      </c>
      <c r="B29" s="36"/>
      <c r="C29" s="36"/>
      <c r="D29" s="36"/>
      <c r="E29" s="36"/>
      <c r="F29" s="36"/>
      <c r="G29" s="36"/>
      <c r="H29" s="36"/>
      <c r="I29" s="36"/>
      <c r="J29" s="36"/>
      <c r="K29" s="36"/>
      <c r="L29" s="36"/>
      <c r="M29" s="36"/>
    </row>
    <row r="30" spans="1:13" x14ac:dyDescent="0.25">
      <c r="A30" s="36"/>
      <c r="B30" s="36"/>
      <c r="C30" s="36"/>
      <c r="D30" s="36"/>
      <c r="E30" s="36"/>
      <c r="F30" s="36"/>
      <c r="G30" s="36"/>
      <c r="H30" s="36"/>
      <c r="I30" s="36"/>
      <c r="J30" s="36"/>
      <c r="K30" s="36"/>
      <c r="L30" s="36"/>
      <c r="M30" s="36"/>
    </row>
    <row r="31" spans="1:13" x14ac:dyDescent="0.25">
      <c r="A31" s="46" t="s">
        <v>154</v>
      </c>
      <c r="B31" s="36"/>
      <c r="C31" s="36"/>
      <c r="D31" s="36"/>
      <c r="E31" s="36"/>
      <c r="F31" s="36"/>
      <c r="G31" s="36"/>
      <c r="H31" s="36"/>
      <c r="I31" s="36"/>
      <c r="J31" s="36"/>
      <c r="K31" s="36"/>
      <c r="L31" s="36"/>
      <c r="M31" s="36"/>
    </row>
    <row r="32" spans="1:13" x14ac:dyDescent="0.25">
      <c r="A32" s="36"/>
      <c r="B32" s="36"/>
      <c r="C32" s="36"/>
      <c r="D32" s="36"/>
      <c r="E32" s="36"/>
      <c r="F32" s="36"/>
      <c r="G32" s="36"/>
      <c r="H32" s="36"/>
      <c r="I32" s="36"/>
      <c r="J32" s="36"/>
      <c r="K32" s="36"/>
      <c r="L32" s="36"/>
      <c r="M32" s="36"/>
    </row>
    <row r="33" spans="1:13" x14ac:dyDescent="0.25">
      <c r="A33" s="46" t="s">
        <v>155</v>
      </c>
      <c r="B33" s="36"/>
      <c r="C33" s="36"/>
      <c r="D33" s="36"/>
      <c r="E33" s="36"/>
      <c r="F33" s="36"/>
      <c r="G33" s="36"/>
      <c r="H33" s="36"/>
      <c r="I33" s="36"/>
      <c r="J33" s="36"/>
      <c r="K33" s="36"/>
      <c r="L33" s="36"/>
      <c r="M33" s="36"/>
    </row>
  </sheetData>
  <mergeCells count="4">
    <mergeCell ref="A25:M25"/>
    <mergeCell ref="A24:M24"/>
    <mergeCell ref="A26:M26"/>
    <mergeCell ref="A1:M1"/>
  </mergeCells>
  <hyperlinks>
    <hyperlink ref="A29" r:id="rId1" xr:uid="{00000000-0004-0000-1000-000000000000}"/>
    <hyperlink ref="A31" location="'Technical specifications'!A1" display="Technical specifications" xr:uid="{00000000-0004-0000-1000-000001000000}"/>
    <hyperlink ref="A33" location="Contents!A1" display="Back to contents" xr:uid="{00000000-0004-0000-10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3"/>
  <sheetViews>
    <sheetView workbookViewId="0">
      <selection sqref="A1:M1"/>
    </sheetView>
  </sheetViews>
  <sheetFormatPr defaultRowHeight="15" x14ac:dyDescent="0.25"/>
  <cols>
    <col min="1" max="1" width="17" customWidth="1"/>
    <col min="2" max="2" width="30" customWidth="1"/>
    <col min="3" max="3" width="35" customWidth="1"/>
    <col min="4" max="4" width="30" customWidth="1"/>
    <col min="5" max="13" width="10" customWidth="1"/>
  </cols>
  <sheetData>
    <row r="1" spans="1:13" ht="33.75" customHeight="1" x14ac:dyDescent="0.25">
      <c r="A1" s="73" t="s">
        <v>17</v>
      </c>
      <c r="B1" s="74"/>
      <c r="C1" s="74"/>
      <c r="D1" s="74"/>
      <c r="E1" s="74"/>
      <c r="F1" s="74"/>
      <c r="G1" s="74"/>
      <c r="H1" s="74"/>
      <c r="I1" s="74"/>
      <c r="J1" s="74"/>
      <c r="K1" s="74"/>
      <c r="L1" s="74"/>
      <c r="M1" s="74"/>
    </row>
    <row r="2" spans="1:13" x14ac:dyDescent="0.25">
      <c r="A2" s="37" t="s">
        <v>180</v>
      </c>
      <c r="B2" s="37" t="s">
        <v>156</v>
      </c>
      <c r="C2" s="37" t="s">
        <v>157</v>
      </c>
      <c r="D2" s="37" t="s">
        <v>126</v>
      </c>
      <c r="E2" s="38" t="s">
        <v>208</v>
      </c>
      <c r="F2" s="38" t="s">
        <v>209</v>
      </c>
      <c r="G2" s="38" t="s">
        <v>210</v>
      </c>
      <c r="H2" s="38" t="s">
        <v>211</v>
      </c>
      <c r="I2" s="38" t="s">
        <v>212</v>
      </c>
      <c r="J2" s="38" t="s">
        <v>213</v>
      </c>
      <c r="K2" s="38" t="s">
        <v>214</v>
      </c>
      <c r="L2" s="38" t="s">
        <v>215</v>
      </c>
      <c r="M2" s="38" t="s">
        <v>151</v>
      </c>
    </row>
    <row r="3" spans="1:13" x14ac:dyDescent="0.25">
      <c r="A3" s="39" t="s">
        <v>158</v>
      </c>
      <c r="B3" s="39" t="s">
        <v>161</v>
      </c>
      <c r="C3" s="39" t="s">
        <v>162</v>
      </c>
      <c r="D3" s="39" t="s">
        <v>131</v>
      </c>
      <c r="E3" s="40">
        <v>61252</v>
      </c>
      <c r="F3" s="40">
        <v>18519</v>
      </c>
      <c r="G3" s="40">
        <v>55887</v>
      </c>
      <c r="H3" s="40">
        <v>31146</v>
      </c>
      <c r="I3" s="40">
        <v>12942</v>
      </c>
      <c r="J3" s="40">
        <v>4667</v>
      </c>
      <c r="K3" s="40">
        <v>2568</v>
      </c>
      <c r="L3" s="40">
        <v>28767</v>
      </c>
      <c r="M3" s="40">
        <v>215748</v>
      </c>
    </row>
    <row r="4" spans="1:13" x14ac:dyDescent="0.25">
      <c r="A4" s="39" t="s">
        <v>158</v>
      </c>
      <c r="B4" s="39" t="s">
        <v>161</v>
      </c>
      <c r="C4" s="39" t="s">
        <v>163</v>
      </c>
      <c r="D4" s="39" t="s">
        <v>131</v>
      </c>
      <c r="E4" s="40">
        <v>1019</v>
      </c>
      <c r="F4" s="40">
        <v>456</v>
      </c>
      <c r="G4" s="40">
        <v>4944</v>
      </c>
      <c r="H4" s="40">
        <v>223</v>
      </c>
      <c r="I4" s="40">
        <v>168</v>
      </c>
      <c r="J4" s="40">
        <v>168</v>
      </c>
      <c r="K4" s="40">
        <v>73</v>
      </c>
      <c r="L4" s="40">
        <v>160</v>
      </c>
      <c r="M4" s="40">
        <v>7211</v>
      </c>
    </row>
    <row r="5" spans="1:13" x14ac:dyDescent="0.25">
      <c r="A5" s="39" t="s">
        <v>158</v>
      </c>
      <c r="B5" s="39" t="s">
        <v>161</v>
      </c>
      <c r="C5" s="39" t="s">
        <v>164</v>
      </c>
      <c r="D5" s="39" t="s">
        <v>131</v>
      </c>
      <c r="E5" s="40">
        <v>1774</v>
      </c>
      <c r="F5" s="40">
        <v>1269</v>
      </c>
      <c r="G5" s="40">
        <v>6195</v>
      </c>
      <c r="H5" s="40">
        <v>999</v>
      </c>
      <c r="I5" s="40">
        <v>669</v>
      </c>
      <c r="J5" s="40">
        <v>435</v>
      </c>
      <c r="K5" s="40">
        <v>132</v>
      </c>
      <c r="L5" s="40">
        <v>526</v>
      </c>
      <c r="M5" s="40">
        <v>11999</v>
      </c>
    </row>
    <row r="6" spans="1:13" x14ac:dyDescent="0.25">
      <c r="A6" s="47" t="s">
        <v>158</v>
      </c>
      <c r="B6" s="47" t="s">
        <v>161</v>
      </c>
      <c r="C6" s="47" t="s">
        <v>151</v>
      </c>
      <c r="D6" s="47" t="s">
        <v>131</v>
      </c>
      <c r="E6" s="48">
        <v>64045</v>
      </c>
      <c r="F6" s="48">
        <v>20244</v>
      </c>
      <c r="G6" s="48">
        <v>67026</v>
      </c>
      <c r="H6" s="48">
        <v>32368</v>
      </c>
      <c r="I6" s="48">
        <v>13779</v>
      </c>
      <c r="J6" s="48">
        <v>5270</v>
      </c>
      <c r="K6" s="48">
        <v>2773</v>
      </c>
      <c r="L6" s="48">
        <v>29453</v>
      </c>
      <c r="M6" s="48">
        <v>234958</v>
      </c>
    </row>
    <row r="7" spans="1:13" x14ac:dyDescent="0.25">
      <c r="A7" s="39" t="s">
        <v>158</v>
      </c>
      <c r="B7" s="39" t="s">
        <v>165</v>
      </c>
      <c r="C7" s="39" t="s">
        <v>166</v>
      </c>
      <c r="D7" s="39" t="s">
        <v>131</v>
      </c>
      <c r="E7" s="40">
        <v>941380</v>
      </c>
      <c r="F7" s="40">
        <v>787342</v>
      </c>
      <c r="G7" s="40">
        <v>667966</v>
      </c>
      <c r="H7" s="40">
        <v>286163</v>
      </c>
      <c r="I7" s="40">
        <v>223792</v>
      </c>
      <c r="J7" s="40">
        <v>68078</v>
      </c>
      <c r="K7" s="40">
        <v>64008</v>
      </c>
      <c r="L7" s="40">
        <v>23269</v>
      </c>
      <c r="M7" s="40">
        <v>3061998</v>
      </c>
    </row>
    <row r="8" spans="1:13" x14ac:dyDescent="0.25">
      <c r="A8" s="39" t="s">
        <v>158</v>
      </c>
      <c r="B8" s="39" t="s">
        <v>167</v>
      </c>
      <c r="C8" s="39" t="s">
        <v>167</v>
      </c>
      <c r="D8" s="39" t="s">
        <v>131</v>
      </c>
      <c r="E8" s="40">
        <v>7619</v>
      </c>
      <c r="F8" s="40">
        <v>10890</v>
      </c>
      <c r="G8" s="40">
        <v>2004</v>
      </c>
      <c r="H8" s="49" t="s">
        <v>223</v>
      </c>
      <c r="I8" s="40">
        <v>7683</v>
      </c>
      <c r="J8" s="40">
        <v>980</v>
      </c>
      <c r="K8" s="40">
        <v>2546</v>
      </c>
      <c r="L8" s="40">
        <v>16</v>
      </c>
      <c r="M8" s="40">
        <v>31738</v>
      </c>
    </row>
    <row r="9" spans="1:13" x14ac:dyDescent="0.25">
      <c r="A9" s="41" t="s">
        <v>158</v>
      </c>
      <c r="B9" s="41" t="s">
        <v>151</v>
      </c>
      <c r="C9" s="41" t="s">
        <v>151</v>
      </c>
      <c r="D9" s="41" t="s">
        <v>131</v>
      </c>
      <c r="E9" s="42">
        <v>1013044</v>
      </c>
      <c r="F9" s="42">
        <v>818476</v>
      </c>
      <c r="G9" s="42">
        <v>736996</v>
      </c>
      <c r="H9" s="42">
        <v>318531</v>
      </c>
      <c r="I9" s="42">
        <v>245254</v>
      </c>
      <c r="J9" s="42">
        <v>74328</v>
      </c>
      <c r="K9" s="42">
        <v>69327</v>
      </c>
      <c r="L9" s="42">
        <v>52738</v>
      </c>
      <c r="M9" s="42">
        <v>3328694</v>
      </c>
    </row>
    <row r="10" spans="1:13" x14ac:dyDescent="0.25">
      <c r="A10" s="39" t="s">
        <v>159</v>
      </c>
      <c r="B10" s="39" t="s">
        <v>161</v>
      </c>
      <c r="C10" s="39" t="s">
        <v>162</v>
      </c>
      <c r="D10" s="39" t="s">
        <v>131</v>
      </c>
      <c r="E10" s="40">
        <v>5158</v>
      </c>
      <c r="F10" s="40">
        <v>1475</v>
      </c>
      <c r="G10" s="40">
        <v>5000</v>
      </c>
      <c r="H10" s="40">
        <v>1410</v>
      </c>
      <c r="I10" s="40">
        <v>839</v>
      </c>
      <c r="J10" s="63" t="s">
        <v>238</v>
      </c>
      <c r="K10" s="63" t="s">
        <v>187</v>
      </c>
      <c r="L10" s="63" t="s">
        <v>238</v>
      </c>
      <c r="M10" s="40">
        <v>14849</v>
      </c>
    </row>
    <row r="11" spans="1:13" x14ac:dyDescent="0.25">
      <c r="A11" s="39" t="s">
        <v>159</v>
      </c>
      <c r="B11" s="39" t="s">
        <v>161</v>
      </c>
      <c r="C11" s="39" t="s">
        <v>163</v>
      </c>
      <c r="D11" s="39" t="s">
        <v>131</v>
      </c>
      <c r="E11" s="40">
        <v>161</v>
      </c>
      <c r="F11" s="40">
        <v>132</v>
      </c>
      <c r="G11" s="40">
        <v>325</v>
      </c>
      <c r="H11" s="40">
        <v>78</v>
      </c>
      <c r="I11" s="40">
        <v>67</v>
      </c>
      <c r="J11" s="63" t="s">
        <v>238</v>
      </c>
      <c r="K11" s="63" t="s">
        <v>187</v>
      </c>
      <c r="L11" s="63" t="s">
        <v>238</v>
      </c>
      <c r="M11" s="40">
        <v>823</v>
      </c>
    </row>
    <row r="12" spans="1:13" x14ac:dyDescent="0.25">
      <c r="A12" s="39" t="s">
        <v>159</v>
      </c>
      <c r="B12" s="39" t="s">
        <v>161</v>
      </c>
      <c r="C12" s="39" t="s">
        <v>164</v>
      </c>
      <c r="D12" s="39" t="s">
        <v>131</v>
      </c>
      <c r="E12" s="40">
        <v>274</v>
      </c>
      <c r="F12" s="40">
        <v>360</v>
      </c>
      <c r="G12" s="40">
        <v>412</v>
      </c>
      <c r="H12" s="40">
        <v>103</v>
      </c>
      <c r="I12" s="40">
        <v>100</v>
      </c>
      <c r="J12" s="63" t="s">
        <v>238</v>
      </c>
      <c r="K12" s="63" t="s">
        <v>187</v>
      </c>
      <c r="L12" s="63" t="s">
        <v>238</v>
      </c>
      <c r="M12" s="40">
        <v>1352</v>
      </c>
    </row>
    <row r="13" spans="1:13" x14ac:dyDescent="0.25">
      <c r="A13" s="47" t="s">
        <v>159</v>
      </c>
      <c r="B13" s="47" t="s">
        <v>161</v>
      </c>
      <c r="C13" s="47" t="s">
        <v>151</v>
      </c>
      <c r="D13" s="47" t="s">
        <v>131</v>
      </c>
      <c r="E13" s="48">
        <v>5593</v>
      </c>
      <c r="F13" s="48">
        <v>1967</v>
      </c>
      <c r="G13" s="48">
        <v>5737</v>
      </c>
      <c r="H13" s="48">
        <v>1591</v>
      </c>
      <c r="I13" s="48">
        <v>1006</v>
      </c>
      <c r="J13" s="68" t="s">
        <v>238</v>
      </c>
      <c r="K13" s="68" t="s">
        <v>187</v>
      </c>
      <c r="L13" s="68" t="s">
        <v>238</v>
      </c>
      <c r="M13" s="48">
        <v>17024</v>
      </c>
    </row>
    <row r="14" spans="1:13" x14ac:dyDescent="0.25">
      <c r="A14" s="39" t="s">
        <v>159</v>
      </c>
      <c r="B14" s="39" t="s">
        <v>165</v>
      </c>
      <c r="C14" s="39" t="s">
        <v>166</v>
      </c>
      <c r="D14" s="39" t="s">
        <v>131</v>
      </c>
      <c r="E14" s="40">
        <v>319467</v>
      </c>
      <c r="F14" s="40">
        <v>335361</v>
      </c>
      <c r="G14" s="40">
        <v>318610</v>
      </c>
      <c r="H14" s="40">
        <v>138607</v>
      </c>
      <c r="I14" s="40">
        <v>91002</v>
      </c>
      <c r="J14" s="63" t="s">
        <v>238</v>
      </c>
      <c r="K14" s="63" t="s">
        <v>187</v>
      </c>
      <c r="L14" s="63" t="s">
        <v>238</v>
      </c>
      <c r="M14" s="40">
        <v>1231055</v>
      </c>
    </row>
    <row r="15" spans="1:13" x14ac:dyDescent="0.25">
      <c r="A15" s="39" t="s">
        <v>159</v>
      </c>
      <c r="B15" s="39" t="s">
        <v>167</v>
      </c>
      <c r="C15" s="39" t="s">
        <v>167</v>
      </c>
      <c r="D15" s="39" t="s">
        <v>131</v>
      </c>
      <c r="E15" s="40">
        <v>15514</v>
      </c>
      <c r="F15" s="40">
        <v>4159</v>
      </c>
      <c r="G15" s="40">
        <v>17634</v>
      </c>
      <c r="H15" s="49" t="s">
        <v>223</v>
      </c>
      <c r="I15" s="40">
        <v>2567</v>
      </c>
      <c r="J15" s="63" t="s">
        <v>238</v>
      </c>
      <c r="K15" s="63" t="s">
        <v>187</v>
      </c>
      <c r="L15" s="63" t="s">
        <v>238</v>
      </c>
      <c r="M15" s="40">
        <v>40899</v>
      </c>
    </row>
    <row r="16" spans="1:13" x14ac:dyDescent="0.25">
      <c r="A16" s="41" t="s">
        <v>159</v>
      </c>
      <c r="B16" s="41" t="s">
        <v>151</v>
      </c>
      <c r="C16" s="41" t="s">
        <v>151</v>
      </c>
      <c r="D16" s="41" t="s">
        <v>131</v>
      </c>
      <c r="E16" s="42">
        <v>340574</v>
      </c>
      <c r="F16" s="42">
        <v>341487</v>
      </c>
      <c r="G16" s="42">
        <v>341981</v>
      </c>
      <c r="H16" s="42">
        <v>140198</v>
      </c>
      <c r="I16" s="42">
        <v>94575</v>
      </c>
      <c r="J16" s="61" t="s">
        <v>238</v>
      </c>
      <c r="K16" s="61" t="s">
        <v>187</v>
      </c>
      <c r="L16" s="61" t="s">
        <v>238</v>
      </c>
      <c r="M16" s="42">
        <v>1288978</v>
      </c>
    </row>
    <row r="17" spans="1:13" x14ac:dyDescent="0.25">
      <c r="A17" s="39" t="s">
        <v>160</v>
      </c>
      <c r="B17" s="39" t="s">
        <v>161</v>
      </c>
      <c r="C17" s="39"/>
      <c r="D17" s="39" t="s">
        <v>131</v>
      </c>
      <c r="E17" s="40">
        <v>69638</v>
      </c>
      <c r="F17" s="40">
        <v>22211</v>
      </c>
      <c r="G17" s="40">
        <v>72763</v>
      </c>
      <c r="H17" s="40">
        <v>33959</v>
      </c>
      <c r="I17" s="40">
        <v>14785</v>
      </c>
      <c r="J17" s="63" t="s">
        <v>238</v>
      </c>
      <c r="K17" s="63" t="s">
        <v>187</v>
      </c>
      <c r="L17" s="63" t="s">
        <v>238</v>
      </c>
      <c r="M17" s="40">
        <v>251982</v>
      </c>
    </row>
    <row r="18" spans="1:13" x14ac:dyDescent="0.25">
      <c r="A18" s="39" t="s">
        <v>160</v>
      </c>
      <c r="B18" s="39" t="s">
        <v>169</v>
      </c>
      <c r="C18" s="39"/>
      <c r="D18" s="39" t="s">
        <v>131</v>
      </c>
      <c r="E18" s="40">
        <v>1283980</v>
      </c>
      <c r="F18" s="40">
        <v>1137752</v>
      </c>
      <c r="G18" s="40">
        <v>1006214</v>
      </c>
      <c r="H18" s="40">
        <v>424770</v>
      </c>
      <c r="I18" s="40">
        <v>325044</v>
      </c>
      <c r="J18" s="63" t="s">
        <v>238</v>
      </c>
      <c r="K18" s="63" t="s">
        <v>187</v>
      </c>
      <c r="L18" s="63" t="s">
        <v>238</v>
      </c>
      <c r="M18" s="40">
        <v>4365690</v>
      </c>
    </row>
    <row r="19" spans="1:13" x14ac:dyDescent="0.25">
      <c r="A19" s="41" t="s">
        <v>160</v>
      </c>
      <c r="B19" s="41" t="s">
        <v>224</v>
      </c>
      <c r="C19" s="41"/>
      <c r="D19" s="41" t="s">
        <v>131</v>
      </c>
      <c r="E19" s="42">
        <v>1353618</v>
      </c>
      <c r="F19" s="42">
        <v>1159963</v>
      </c>
      <c r="G19" s="42">
        <v>1078977</v>
      </c>
      <c r="H19" s="42">
        <v>458729</v>
      </c>
      <c r="I19" s="42">
        <v>339829</v>
      </c>
      <c r="J19" s="61" t="s">
        <v>238</v>
      </c>
      <c r="K19" s="61" t="s">
        <v>187</v>
      </c>
      <c r="L19" s="61" t="s">
        <v>238</v>
      </c>
      <c r="M19" s="42">
        <v>4617672</v>
      </c>
    </row>
    <row r="20" spans="1:13" x14ac:dyDescent="0.25">
      <c r="A20" s="39" t="s">
        <v>160</v>
      </c>
      <c r="B20" s="39" t="s">
        <v>161</v>
      </c>
      <c r="C20" s="39"/>
      <c r="D20" s="39" t="s">
        <v>176</v>
      </c>
      <c r="E20" s="49">
        <v>254.20632345000001</v>
      </c>
      <c r="F20" s="49">
        <v>349.57873180000001</v>
      </c>
      <c r="G20" s="49">
        <v>328.63076275999998</v>
      </c>
      <c r="H20" s="49">
        <v>342.27708882000002</v>
      </c>
      <c r="I20" s="49">
        <v>349.93533858000001</v>
      </c>
      <c r="J20" s="49">
        <v>226.53891196000001</v>
      </c>
      <c r="K20" s="49">
        <v>404.82344598999998</v>
      </c>
      <c r="L20" s="49">
        <v>463.33365251999999</v>
      </c>
      <c r="M20" s="49">
        <v>314.53417227</v>
      </c>
    </row>
    <row r="21" spans="1:13" x14ac:dyDescent="0.25">
      <c r="A21" s="39" t="s">
        <v>160</v>
      </c>
      <c r="B21" s="39" t="s">
        <v>169</v>
      </c>
      <c r="C21" s="39"/>
      <c r="D21" s="39" t="s">
        <v>176</v>
      </c>
      <c r="E21" s="49">
        <v>158.98783564999999</v>
      </c>
      <c r="F21" s="49">
        <v>171.58167442999999</v>
      </c>
      <c r="G21" s="49">
        <v>191.53685490999999</v>
      </c>
      <c r="H21" s="49">
        <v>155.5220199</v>
      </c>
      <c r="I21" s="49">
        <v>169.65804417000001</v>
      </c>
      <c r="J21" s="49">
        <v>180.70896687999999</v>
      </c>
      <c r="K21" s="49">
        <v>184.67851739</v>
      </c>
      <c r="L21" s="49">
        <v>173.79898383</v>
      </c>
      <c r="M21" s="49">
        <v>169.23262804999999</v>
      </c>
    </row>
    <row r="22" spans="1:13" x14ac:dyDescent="0.25">
      <c r="A22" s="41" t="s">
        <v>160</v>
      </c>
      <c r="B22" s="41" t="s">
        <v>224</v>
      </c>
      <c r="C22" s="41"/>
      <c r="D22" s="41" t="s">
        <v>176</v>
      </c>
      <c r="E22" s="51">
        <v>143.76289206999999</v>
      </c>
      <c r="F22" s="51">
        <v>153.47335339</v>
      </c>
      <c r="G22" s="51">
        <v>177.45382253</v>
      </c>
      <c r="H22" s="51">
        <v>146.07655731</v>
      </c>
      <c r="I22" s="51">
        <v>154.49319903</v>
      </c>
      <c r="J22" s="51">
        <v>183.61442541</v>
      </c>
      <c r="K22" s="51">
        <v>188.39743643</v>
      </c>
      <c r="L22" s="51">
        <v>240.19644402</v>
      </c>
      <c r="M22" s="51">
        <v>155.00593519</v>
      </c>
    </row>
    <row r="23" spans="1:13" x14ac:dyDescent="0.25">
      <c r="A23" s="43" t="s">
        <v>160</v>
      </c>
      <c r="B23" s="43" t="s">
        <v>224</v>
      </c>
      <c r="C23" s="43"/>
      <c r="D23" s="43" t="s">
        <v>186</v>
      </c>
      <c r="E23" s="52">
        <f>E20/$E21</f>
        <v>1.5989042332120083</v>
      </c>
      <c r="F23" s="52">
        <f t="shared" ref="F23:M23" si="0">F20/$E21</f>
        <v>2.1987765942645563</v>
      </c>
      <c r="G23" s="52">
        <f t="shared" si="0"/>
        <v>2.0670182810932554</v>
      </c>
      <c r="H23" s="52">
        <f t="shared" si="0"/>
        <v>2.1528507978025302</v>
      </c>
      <c r="I23" s="52">
        <f t="shared" si="0"/>
        <v>2.2010195758017415</v>
      </c>
      <c r="J23" s="52">
        <f t="shared" si="0"/>
        <v>1.4248820422884976</v>
      </c>
      <c r="K23" s="52">
        <f t="shared" si="0"/>
        <v>2.5462542108013153</v>
      </c>
      <c r="L23" s="52">
        <f t="shared" si="0"/>
        <v>2.9142710863741481</v>
      </c>
      <c r="M23" s="52">
        <f t="shared" si="0"/>
        <v>1.9783536959546</v>
      </c>
    </row>
    <row r="24" spans="1:13" x14ac:dyDescent="0.25">
      <c r="A24" s="75" t="s">
        <v>225</v>
      </c>
      <c r="B24" s="76"/>
      <c r="C24" s="76"/>
      <c r="D24" s="76"/>
      <c r="E24" s="76"/>
      <c r="F24" s="76"/>
      <c r="G24" s="76"/>
      <c r="H24" s="76"/>
      <c r="I24" s="76"/>
      <c r="J24" s="76"/>
      <c r="K24" s="76"/>
      <c r="L24" s="76"/>
      <c r="M24" s="76"/>
    </row>
    <row r="25" spans="1:13" x14ac:dyDescent="0.25">
      <c r="A25" s="75" t="s">
        <v>226</v>
      </c>
      <c r="B25" s="76"/>
      <c r="C25" s="76"/>
      <c r="D25" s="76"/>
      <c r="E25" s="76"/>
      <c r="F25" s="76"/>
      <c r="G25" s="76"/>
      <c r="H25" s="76"/>
      <c r="I25" s="76"/>
      <c r="J25" s="76"/>
      <c r="K25" s="76"/>
      <c r="L25" s="76"/>
      <c r="M25" s="76"/>
    </row>
    <row r="26" spans="1:13" x14ac:dyDescent="0.25">
      <c r="A26" s="75" t="s">
        <v>227</v>
      </c>
      <c r="B26" s="76"/>
      <c r="C26" s="76"/>
      <c r="D26" s="76"/>
      <c r="E26" s="76"/>
      <c r="F26" s="76"/>
      <c r="G26" s="76"/>
      <c r="H26" s="76"/>
      <c r="I26" s="76"/>
      <c r="J26" s="76"/>
      <c r="K26" s="76"/>
      <c r="L26" s="76"/>
      <c r="M26" s="76"/>
    </row>
    <row r="27" spans="1:13" x14ac:dyDescent="0.25">
      <c r="A27" s="45"/>
      <c r="B27" s="36"/>
      <c r="C27" s="36"/>
      <c r="D27" s="36"/>
      <c r="E27" s="36"/>
      <c r="F27" s="36"/>
      <c r="G27" s="36"/>
      <c r="H27" s="36"/>
      <c r="I27" s="36"/>
      <c r="J27" s="36"/>
      <c r="K27" s="36"/>
      <c r="L27" s="36"/>
      <c r="M27" s="36"/>
    </row>
    <row r="28" spans="1:13" x14ac:dyDescent="0.25">
      <c r="A28" s="36" t="s">
        <v>153</v>
      </c>
      <c r="B28" s="36"/>
      <c r="C28" s="36"/>
      <c r="D28" s="36"/>
      <c r="E28" s="36"/>
      <c r="F28" s="36"/>
      <c r="G28" s="36"/>
      <c r="H28" s="36"/>
      <c r="I28" s="36"/>
      <c r="J28" s="36"/>
      <c r="K28" s="36"/>
      <c r="L28" s="36"/>
      <c r="M28" s="36"/>
    </row>
    <row r="29" spans="1:13" x14ac:dyDescent="0.25">
      <c r="A29" s="46" t="s">
        <v>123</v>
      </c>
      <c r="B29" s="36"/>
      <c r="C29" s="36"/>
      <c r="D29" s="36"/>
      <c r="E29" s="36"/>
      <c r="F29" s="36"/>
      <c r="G29" s="36"/>
      <c r="H29" s="36"/>
      <c r="I29" s="36"/>
      <c r="J29" s="36"/>
      <c r="K29" s="36"/>
      <c r="L29" s="36"/>
      <c r="M29" s="36"/>
    </row>
    <row r="30" spans="1:13" x14ac:dyDescent="0.25">
      <c r="A30" s="36"/>
      <c r="B30" s="36"/>
      <c r="C30" s="36"/>
      <c r="D30" s="36"/>
      <c r="E30" s="36"/>
      <c r="F30" s="36"/>
      <c r="G30" s="36"/>
      <c r="H30" s="36"/>
      <c r="I30" s="36"/>
      <c r="J30" s="36"/>
      <c r="K30" s="36"/>
      <c r="L30" s="36"/>
      <c r="M30" s="36"/>
    </row>
    <row r="31" spans="1:13" x14ac:dyDescent="0.25">
      <c r="A31" s="46" t="s">
        <v>154</v>
      </c>
      <c r="B31" s="36"/>
      <c r="C31" s="36"/>
      <c r="D31" s="36"/>
      <c r="E31" s="36"/>
      <c r="F31" s="36"/>
      <c r="G31" s="36"/>
      <c r="H31" s="36"/>
      <c r="I31" s="36"/>
      <c r="J31" s="36"/>
      <c r="K31" s="36"/>
      <c r="L31" s="36"/>
      <c r="M31" s="36"/>
    </row>
    <row r="32" spans="1:13" x14ac:dyDescent="0.25">
      <c r="A32" s="36"/>
      <c r="B32" s="36"/>
      <c r="C32" s="36"/>
      <c r="D32" s="36"/>
      <c r="E32" s="36"/>
      <c r="F32" s="36"/>
      <c r="G32" s="36"/>
      <c r="H32" s="36"/>
      <c r="I32" s="36"/>
      <c r="J32" s="36"/>
      <c r="K32" s="36"/>
      <c r="L32" s="36"/>
      <c r="M32" s="36"/>
    </row>
    <row r="33" spans="1:13" x14ac:dyDescent="0.25">
      <c r="A33" s="46" t="s">
        <v>155</v>
      </c>
      <c r="B33" s="36"/>
      <c r="C33" s="36"/>
      <c r="D33" s="36"/>
      <c r="E33" s="36"/>
      <c r="F33" s="36"/>
      <c r="G33" s="36"/>
      <c r="H33" s="36"/>
      <c r="I33" s="36"/>
      <c r="J33" s="36"/>
      <c r="K33" s="36"/>
      <c r="L33" s="36"/>
      <c r="M33" s="36"/>
    </row>
  </sheetData>
  <mergeCells count="4">
    <mergeCell ref="A25:M25"/>
    <mergeCell ref="A24:M24"/>
    <mergeCell ref="A26:M26"/>
    <mergeCell ref="A1:M1"/>
  </mergeCells>
  <hyperlinks>
    <hyperlink ref="A29" r:id="rId1" xr:uid="{00000000-0004-0000-1100-000000000000}"/>
    <hyperlink ref="A31" location="'Technical specifications'!A1" display="Technical specifications" xr:uid="{00000000-0004-0000-1100-000001000000}"/>
    <hyperlink ref="A33" location="Contents!A1" display="Back to contents" xr:uid="{00000000-0004-0000-11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0"/>
  <sheetViews>
    <sheetView workbookViewId="0">
      <selection sqref="A1:L1"/>
    </sheetView>
  </sheetViews>
  <sheetFormatPr defaultRowHeight="15" x14ac:dyDescent="0.25"/>
  <cols>
    <col min="1" max="1" width="30" customWidth="1"/>
    <col min="2" max="2" width="16" customWidth="1"/>
    <col min="3" max="3" width="40" customWidth="1"/>
    <col min="4" max="12" width="10" customWidth="1"/>
  </cols>
  <sheetData>
    <row r="1" spans="1:12" ht="33.75" customHeight="1" x14ac:dyDescent="0.25">
      <c r="A1" s="73" t="s">
        <v>18</v>
      </c>
      <c r="B1" s="74"/>
      <c r="C1" s="74"/>
      <c r="D1" s="74"/>
      <c r="E1" s="74"/>
      <c r="F1" s="74"/>
      <c r="G1" s="74"/>
      <c r="H1" s="74"/>
      <c r="I1" s="74"/>
      <c r="J1" s="74"/>
      <c r="K1" s="74"/>
      <c r="L1" s="74"/>
    </row>
    <row r="2" spans="1:12" x14ac:dyDescent="0.25">
      <c r="A2" s="37" t="s">
        <v>156</v>
      </c>
      <c r="B2" s="37" t="s">
        <v>228</v>
      </c>
      <c r="C2" s="37" t="s">
        <v>126</v>
      </c>
      <c r="D2" s="38" t="s">
        <v>208</v>
      </c>
      <c r="E2" s="38" t="s">
        <v>209</v>
      </c>
      <c r="F2" s="38" t="s">
        <v>210</v>
      </c>
      <c r="G2" s="38" t="s">
        <v>211</v>
      </c>
      <c r="H2" s="38" t="s">
        <v>212</v>
      </c>
      <c r="I2" s="38" t="s">
        <v>213</v>
      </c>
      <c r="J2" s="38" t="s">
        <v>214</v>
      </c>
      <c r="K2" s="38" t="s">
        <v>215</v>
      </c>
      <c r="L2" s="38" t="s">
        <v>151</v>
      </c>
    </row>
    <row r="3" spans="1:12" x14ac:dyDescent="0.25">
      <c r="A3" s="39" t="s">
        <v>161</v>
      </c>
      <c r="B3" s="39" t="s">
        <v>170</v>
      </c>
      <c r="C3" s="39" t="s">
        <v>131</v>
      </c>
      <c r="D3" s="40">
        <v>71491</v>
      </c>
      <c r="E3" s="40">
        <v>28130</v>
      </c>
      <c r="F3" s="40">
        <v>135799</v>
      </c>
      <c r="G3" s="40">
        <v>84361</v>
      </c>
      <c r="H3" s="40">
        <v>26227</v>
      </c>
      <c r="I3" s="40">
        <v>9300</v>
      </c>
      <c r="J3" s="40">
        <v>3365</v>
      </c>
      <c r="K3" s="40">
        <v>96905</v>
      </c>
      <c r="L3" s="40">
        <v>455578</v>
      </c>
    </row>
    <row r="4" spans="1:12" x14ac:dyDescent="0.25">
      <c r="A4" s="39" t="s">
        <v>161</v>
      </c>
      <c r="B4" s="39" t="s">
        <v>170</v>
      </c>
      <c r="C4" s="39" t="s">
        <v>176</v>
      </c>
      <c r="D4" s="49">
        <v>293.81566803999999</v>
      </c>
      <c r="E4" s="49">
        <v>498.61475910000001</v>
      </c>
      <c r="F4" s="49">
        <v>699.08702382000001</v>
      </c>
      <c r="G4" s="49">
        <v>1069.2696610999999</v>
      </c>
      <c r="H4" s="49">
        <v>757.67377175000001</v>
      </c>
      <c r="I4" s="49">
        <v>384.90163260999998</v>
      </c>
      <c r="J4" s="49">
        <v>487.57030817999998</v>
      </c>
      <c r="K4" s="49">
        <v>1785.2284689999999</v>
      </c>
      <c r="L4" s="49">
        <v>658.43740568999999</v>
      </c>
    </row>
    <row r="5" spans="1:12" x14ac:dyDescent="0.25">
      <c r="A5" s="39" t="s">
        <v>161</v>
      </c>
      <c r="B5" s="39" t="s">
        <v>170</v>
      </c>
      <c r="C5" s="39" t="s">
        <v>229</v>
      </c>
      <c r="D5" s="49">
        <v>140.72178671</v>
      </c>
      <c r="E5" s="49">
        <v>323.15232773000002</v>
      </c>
      <c r="F5" s="49">
        <v>301.78039494000001</v>
      </c>
      <c r="G5" s="49">
        <v>186.79614196</v>
      </c>
      <c r="H5" s="49">
        <v>227.53075848</v>
      </c>
      <c r="I5" s="49">
        <v>277.54779129000002</v>
      </c>
      <c r="J5" s="49">
        <v>361.60559289999998</v>
      </c>
      <c r="K5" s="49">
        <v>246.78108069999999</v>
      </c>
      <c r="L5" s="49">
        <v>224.92235029</v>
      </c>
    </row>
    <row r="6" spans="1:12" x14ac:dyDescent="0.25">
      <c r="A6" s="39" t="s">
        <v>161</v>
      </c>
      <c r="B6" s="39" t="s">
        <v>173</v>
      </c>
      <c r="C6" s="39" t="s">
        <v>131</v>
      </c>
      <c r="D6" s="40">
        <v>61778</v>
      </c>
      <c r="E6" s="40">
        <v>19534</v>
      </c>
      <c r="F6" s="40">
        <v>66408</v>
      </c>
      <c r="G6" s="40">
        <v>31613</v>
      </c>
      <c r="H6" s="40">
        <v>12975</v>
      </c>
      <c r="I6" s="40">
        <v>5400</v>
      </c>
      <c r="J6" s="40">
        <v>2438</v>
      </c>
      <c r="K6" s="40">
        <v>28478</v>
      </c>
      <c r="L6" s="40">
        <v>228624</v>
      </c>
    </row>
    <row r="7" spans="1:12" x14ac:dyDescent="0.25">
      <c r="A7" s="39" t="s">
        <v>161</v>
      </c>
      <c r="B7" s="39" t="s">
        <v>173</v>
      </c>
      <c r="C7" s="39" t="s">
        <v>176</v>
      </c>
      <c r="D7" s="49">
        <v>223.86776513999999</v>
      </c>
      <c r="E7" s="49">
        <v>307.03736508999998</v>
      </c>
      <c r="F7" s="49">
        <v>296.21450296</v>
      </c>
      <c r="G7" s="49">
        <v>317.63206557000001</v>
      </c>
      <c r="H7" s="49">
        <v>305.65205087999999</v>
      </c>
      <c r="I7" s="49">
        <v>203.33079343</v>
      </c>
      <c r="J7" s="49">
        <v>353.98277515000001</v>
      </c>
      <c r="K7" s="49">
        <v>440.15316926999998</v>
      </c>
      <c r="L7" s="49">
        <v>283.51057617999999</v>
      </c>
    </row>
    <row r="8" spans="1:12" x14ac:dyDescent="0.25">
      <c r="A8" s="39" t="s">
        <v>165</v>
      </c>
      <c r="B8" s="39" t="s">
        <v>170</v>
      </c>
      <c r="C8" s="39" t="s">
        <v>131</v>
      </c>
      <c r="D8" s="40">
        <v>1700316</v>
      </c>
      <c r="E8" s="40">
        <v>2016878</v>
      </c>
      <c r="F8" s="40">
        <v>1710385</v>
      </c>
      <c r="G8" s="40">
        <v>735464</v>
      </c>
      <c r="H8" s="40">
        <v>482919</v>
      </c>
      <c r="I8" s="40">
        <v>165988</v>
      </c>
      <c r="J8" s="40">
        <v>84601</v>
      </c>
      <c r="K8" s="40">
        <v>38548</v>
      </c>
      <c r="L8" s="40">
        <v>6935099</v>
      </c>
    </row>
    <row r="9" spans="1:12" x14ac:dyDescent="0.25">
      <c r="A9" s="39" t="s">
        <v>165</v>
      </c>
      <c r="B9" s="39" t="s">
        <v>173</v>
      </c>
      <c r="C9" s="39" t="s">
        <v>131</v>
      </c>
      <c r="D9" s="40">
        <v>1121711</v>
      </c>
      <c r="E9" s="40">
        <v>1018130</v>
      </c>
      <c r="F9" s="40">
        <v>883692</v>
      </c>
      <c r="G9" s="40">
        <v>386469</v>
      </c>
      <c r="H9" s="40">
        <v>279161</v>
      </c>
      <c r="I9" s="40">
        <v>82327</v>
      </c>
      <c r="J9" s="40">
        <v>56253</v>
      </c>
      <c r="K9" s="40">
        <v>26061</v>
      </c>
      <c r="L9" s="40">
        <v>3853804</v>
      </c>
    </row>
    <row r="10" spans="1:12" x14ac:dyDescent="0.25">
      <c r="A10" s="39" t="s">
        <v>167</v>
      </c>
      <c r="B10" s="39" t="s">
        <v>170</v>
      </c>
      <c r="C10" s="39" t="s">
        <v>131</v>
      </c>
      <c r="D10" s="40">
        <v>62490</v>
      </c>
      <c r="E10" s="40">
        <v>35453</v>
      </c>
      <c r="F10" s="40">
        <v>69190</v>
      </c>
      <c r="G10" s="49" t="s">
        <v>223</v>
      </c>
      <c r="H10" s="40">
        <v>27508</v>
      </c>
      <c r="I10" s="40">
        <v>8519</v>
      </c>
      <c r="J10" s="40">
        <v>1586</v>
      </c>
      <c r="K10" s="40">
        <v>529</v>
      </c>
      <c r="L10" s="40">
        <v>205275</v>
      </c>
    </row>
    <row r="11" spans="1:12" x14ac:dyDescent="0.25">
      <c r="A11" s="39" t="s">
        <v>167</v>
      </c>
      <c r="B11" s="39" t="s">
        <v>173</v>
      </c>
      <c r="C11" s="39" t="s">
        <v>131</v>
      </c>
      <c r="D11" s="40">
        <v>20245</v>
      </c>
      <c r="E11" s="40">
        <v>13439</v>
      </c>
      <c r="F11" s="40">
        <v>17541</v>
      </c>
      <c r="G11" s="49" t="s">
        <v>223</v>
      </c>
      <c r="H11" s="40">
        <v>9074</v>
      </c>
      <c r="I11" s="40">
        <v>1574</v>
      </c>
      <c r="J11" s="40">
        <v>2329</v>
      </c>
      <c r="K11" s="40">
        <v>240</v>
      </c>
      <c r="L11" s="40">
        <v>64442</v>
      </c>
    </row>
    <row r="12" spans="1:12" x14ac:dyDescent="0.25">
      <c r="A12" s="39" t="s">
        <v>169</v>
      </c>
      <c r="B12" s="39" t="s">
        <v>170</v>
      </c>
      <c r="C12" s="39" t="s">
        <v>131</v>
      </c>
      <c r="D12" s="40">
        <v>1762806</v>
      </c>
      <c r="E12" s="40">
        <v>2052331</v>
      </c>
      <c r="F12" s="40">
        <v>1779575</v>
      </c>
      <c r="G12" s="40">
        <v>735464</v>
      </c>
      <c r="H12" s="40">
        <v>510427</v>
      </c>
      <c r="I12" s="40">
        <v>174507</v>
      </c>
      <c r="J12" s="40">
        <v>86187</v>
      </c>
      <c r="K12" s="40">
        <v>39077</v>
      </c>
      <c r="L12" s="40">
        <v>7140374</v>
      </c>
    </row>
    <row r="13" spans="1:12" x14ac:dyDescent="0.25">
      <c r="A13" s="39" t="s">
        <v>169</v>
      </c>
      <c r="B13" s="39" t="s">
        <v>170</v>
      </c>
      <c r="C13" s="39" t="s">
        <v>176</v>
      </c>
      <c r="D13" s="49">
        <v>214.81290661</v>
      </c>
      <c r="E13" s="49">
        <v>307.18457900999999</v>
      </c>
      <c r="F13" s="49">
        <v>334.69734134999999</v>
      </c>
      <c r="G13" s="49">
        <v>265.04148229999998</v>
      </c>
      <c r="H13" s="49">
        <v>262.22649197999999</v>
      </c>
      <c r="I13" s="49">
        <v>327.50920574999998</v>
      </c>
      <c r="J13" s="49">
        <v>229.25615023</v>
      </c>
      <c r="K13" s="49">
        <v>242.7274142</v>
      </c>
      <c r="L13" s="49">
        <v>273.18412022000001</v>
      </c>
    </row>
    <row r="14" spans="1:12" x14ac:dyDescent="0.25">
      <c r="A14" s="39" t="s">
        <v>169</v>
      </c>
      <c r="B14" s="39" t="s">
        <v>170</v>
      </c>
      <c r="C14" s="39" t="s">
        <v>229</v>
      </c>
      <c r="D14" s="49">
        <v>162.77119668</v>
      </c>
      <c r="E14" s="49">
        <v>244.49770208000001</v>
      </c>
      <c r="F14" s="49">
        <v>279.38647177000001</v>
      </c>
      <c r="G14" s="49">
        <v>216.87034513</v>
      </c>
      <c r="H14" s="49">
        <v>203.96184314000001</v>
      </c>
      <c r="I14" s="49">
        <v>286.92740493999997</v>
      </c>
      <c r="J14" s="49">
        <v>167.77486099000001</v>
      </c>
      <c r="K14" s="49">
        <v>184.34296999</v>
      </c>
      <c r="L14" s="49">
        <v>218.28615721</v>
      </c>
    </row>
    <row r="15" spans="1:12" x14ac:dyDescent="0.25">
      <c r="A15" s="39" t="s">
        <v>169</v>
      </c>
      <c r="B15" s="39" t="s">
        <v>173</v>
      </c>
      <c r="C15" s="39" t="s">
        <v>131</v>
      </c>
      <c r="D15" s="40">
        <v>1141956</v>
      </c>
      <c r="E15" s="40">
        <v>1031569</v>
      </c>
      <c r="F15" s="40">
        <v>901233</v>
      </c>
      <c r="G15" s="40">
        <v>386469</v>
      </c>
      <c r="H15" s="40">
        <v>288235</v>
      </c>
      <c r="I15" s="40">
        <v>83901</v>
      </c>
      <c r="J15" s="40">
        <v>58582</v>
      </c>
      <c r="K15" s="40">
        <v>26301</v>
      </c>
      <c r="L15" s="40">
        <v>3918246</v>
      </c>
    </row>
    <row r="16" spans="1:12" x14ac:dyDescent="0.25">
      <c r="A16" s="39" t="s">
        <v>169</v>
      </c>
      <c r="B16" s="39" t="s">
        <v>173</v>
      </c>
      <c r="C16" s="39" t="s">
        <v>176</v>
      </c>
      <c r="D16" s="49">
        <v>141.74094865000001</v>
      </c>
      <c r="E16" s="49">
        <v>155.67257785000001</v>
      </c>
      <c r="F16" s="49">
        <v>172.02531188</v>
      </c>
      <c r="G16" s="49">
        <v>141.47360219000001</v>
      </c>
      <c r="H16" s="49">
        <v>151.10696031000001</v>
      </c>
      <c r="I16" s="49">
        <v>162.47271222000001</v>
      </c>
      <c r="J16" s="49">
        <v>160.92120026000001</v>
      </c>
      <c r="K16" s="49">
        <v>162.52855991000001</v>
      </c>
      <c r="L16" s="49">
        <v>152.16513416000001</v>
      </c>
    </row>
    <row r="17" spans="1:12" x14ac:dyDescent="0.25">
      <c r="A17" s="39" t="s">
        <v>224</v>
      </c>
      <c r="B17" s="39" t="s">
        <v>170</v>
      </c>
      <c r="C17" s="39" t="s">
        <v>131</v>
      </c>
      <c r="D17" s="40">
        <v>1834297</v>
      </c>
      <c r="E17" s="40">
        <v>2080461</v>
      </c>
      <c r="F17" s="40">
        <v>1915374</v>
      </c>
      <c r="G17" s="40">
        <v>819825</v>
      </c>
      <c r="H17" s="40">
        <v>536654</v>
      </c>
      <c r="I17" s="40">
        <v>183807</v>
      </c>
      <c r="J17" s="40">
        <v>89552</v>
      </c>
      <c r="K17" s="40">
        <v>135982</v>
      </c>
      <c r="L17" s="40">
        <v>7595952</v>
      </c>
    </row>
    <row r="18" spans="1:12" x14ac:dyDescent="0.25">
      <c r="A18" s="39" t="s">
        <v>224</v>
      </c>
      <c r="B18" s="39" t="s">
        <v>170</v>
      </c>
      <c r="C18" s="39" t="s">
        <v>176</v>
      </c>
      <c r="D18" s="49">
        <v>192.10753996</v>
      </c>
      <c r="E18" s="49">
        <v>273.32829378999998</v>
      </c>
      <c r="F18" s="49">
        <v>313.40198114999998</v>
      </c>
      <c r="G18" s="49">
        <v>254.80195395000001</v>
      </c>
      <c r="H18" s="49">
        <v>239.08412823</v>
      </c>
      <c r="I18" s="49">
        <v>330.52349638999999</v>
      </c>
      <c r="J18" s="49">
        <v>233.62232467999999</v>
      </c>
      <c r="K18" s="49">
        <v>573.47303550000004</v>
      </c>
      <c r="L18" s="49">
        <v>252.11530811</v>
      </c>
    </row>
    <row r="19" spans="1:12" x14ac:dyDescent="0.25">
      <c r="A19" s="39" t="s">
        <v>224</v>
      </c>
      <c r="B19" s="39" t="s">
        <v>170</v>
      </c>
      <c r="C19" s="39" t="s">
        <v>229</v>
      </c>
      <c r="D19" s="49">
        <v>145.50528627</v>
      </c>
      <c r="E19" s="49">
        <v>220.16107500999999</v>
      </c>
      <c r="F19" s="49">
        <v>255.72816438000001</v>
      </c>
      <c r="G19" s="49">
        <v>193.72728698</v>
      </c>
      <c r="H19" s="49">
        <v>181.80451352</v>
      </c>
      <c r="I19" s="49">
        <v>287.44911551000001</v>
      </c>
      <c r="J19" s="49">
        <v>171.42153271999999</v>
      </c>
      <c r="K19" s="49">
        <v>193.95021270999999</v>
      </c>
      <c r="L19" s="49">
        <v>196.95673371000001</v>
      </c>
    </row>
    <row r="20" spans="1:12" x14ac:dyDescent="0.25">
      <c r="A20" s="39" t="s">
        <v>224</v>
      </c>
      <c r="B20" s="39" t="s">
        <v>173</v>
      </c>
      <c r="C20" s="39" t="s">
        <v>131</v>
      </c>
      <c r="D20" s="40">
        <v>1203734</v>
      </c>
      <c r="E20" s="40">
        <v>1051103</v>
      </c>
      <c r="F20" s="40">
        <v>967641</v>
      </c>
      <c r="G20" s="40">
        <v>418082</v>
      </c>
      <c r="H20" s="40">
        <v>301210</v>
      </c>
      <c r="I20" s="40">
        <v>89301</v>
      </c>
      <c r="J20" s="40">
        <v>61020</v>
      </c>
      <c r="K20" s="40">
        <v>54779</v>
      </c>
      <c r="L20" s="40">
        <v>4146870</v>
      </c>
    </row>
    <row r="21" spans="1:12" x14ac:dyDescent="0.25">
      <c r="A21" s="55" t="s">
        <v>224</v>
      </c>
      <c r="B21" s="55" t="s">
        <v>173</v>
      </c>
      <c r="C21" s="55" t="s">
        <v>176</v>
      </c>
      <c r="D21" s="56">
        <v>128.55033956</v>
      </c>
      <c r="E21" s="56">
        <v>139.65109122999999</v>
      </c>
      <c r="F21" s="56">
        <v>160.13019750000001</v>
      </c>
      <c r="G21" s="56">
        <v>133.40775184</v>
      </c>
      <c r="H21" s="56">
        <v>138.02628999999999</v>
      </c>
      <c r="I21" s="56">
        <v>165.00288997999999</v>
      </c>
      <c r="J21" s="56">
        <v>164.15676010999999</v>
      </c>
      <c r="K21" s="56">
        <v>226.73237997999999</v>
      </c>
      <c r="L21" s="56">
        <v>139.91964435</v>
      </c>
    </row>
    <row r="22" spans="1:12" x14ac:dyDescent="0.25">
      <c r="A22" s="75" t="s">
        <v>225</v>
      </c>
      <c r="B22" s="76"/>
      <c r="C22" s="76"/>
      <c r="D22" s="76"/>
      <c r="E22" s="76"/>
      <c r="F22" s="76"/>
      <c r="G22" s="76"/>
      <c r="H22" s="76"/>
      <c r="I22" s="76"/>
      <c r="J22" s="76"/>
      <c r="K22" s="76"/>
      <c r="L22" s="76"/>
    </row>
    <row r="23" spans="1:12" x14ac:dyDescent="0.25">
      <c r="A23" s="75" t="s">
        <v>226</v>
      </c>
      <c r="B23" s="76"/>
      <c r="C23" s="76"/>
      <c r="D23" s="76"/>
      <c r="E23" s="76"/>
      <c r="F23" s="76"/>
      <c r="G23" s="76"/>
      <c r="H23" s="76"/>
      <c r="I23" s="76"/>
      <c r="J23" s="76"/>
      <c r="K23" s="76"/>
      <c r="L23" s="76"/>
    </row>
    <row r="24" spans="1:12" x14ac:dyDescent="0.25">
      <c r="A24" s="45"/>
      <c r="B24" s="36"/>
      <c r="C24" s="36"/>
      <c r="D24" s="36"/>
      <c r="E24" s="36"/>
      <c r="F24" s="36"/>
      <c r="G24" s="36"/>
      <c r="H24" s="36"/>
      <c r="I24" s="36"/>
      <c r="J24" s="36"/>
      <c r="K24" s="36"/>
      <c r="L24" s="36"/>
    </row>
    <row r="25" spans="1:12" x14ac:dyDescent="0.25">
      <c r="A25" s="36" t="s">
        <v>153</v>
      </c>
      <c r="B25" s="36"/>
      <c r="C25" s="36"/>
      <c r="D25" s="36"/>
      <c r="E25" s="36"/>
      <c r="F25" s="36"/>
      <c r="G25" s="36"/>
      <c r="H25" s="36"/>
      <c r="I25" s="36"/>
      <c r="J25" s="36"/>
      <c r="K25" s="36"/>
      <c r="L25" s="36"/>
    </row>
    <row r="26" spans="1:12" x14ac:dyDescent="0.25">
      <c r="A26" s="46" t="s">
        <v>123</v>
      </c>
      <c r="B26" s="36"/>
      <c r="C26" s="36"/>
      <c r="D26" s="36"/>
      <c r="E26" s="36"/>
      <c r="F26" s="36"/>
      <c r="G26" s="36"/>
      <c r="H26" s="36"/>
      <c r="I26" s="36"/>
      <c r="J26" s="36"/>
      <c r="K26" s="36"/>
      <c r="L26" s="36"/>
    </row>
    <row r="27" spans="1:12" x14ac:dyDescent="0.25">
      <c r="A27" s="36"/>
      <c r="B27" s="36"/>
      <c r="C27" s="36"/>
      <c r="D27" s="36"/>
      <c r="E27" s="36"/>
      <c r="F27" s="36"/>
      <c r="G27" s="36"/>
      <c r="H27" s="36"/>
      <c r="I27" s="36"/>
      <c r="J27" s="36"/>
      <c r="K27" s="36"/>
      <c r="L27" s="36"/>
    </row>
    <row r="28" spans="1:12" x14ac:dyDescent="0.25">
      <c r="A28" s="46" t="s">
        <v>154</v>
      </c>
      <c r="B28" s="36"/>
      <c r="C28" s="36"/>
      <c r="D28" s="36"/>
      <c r="E28" s="36"/>
      <c r="F28" s="36"/>
      <c r="G28" s="36"/>
      <c r="H28" s="36"/>
      <c r="I28" s="36"/>
      <c r="J28" s="36"/>
      <c r="K28" s="36"/>
      <c r="L28" s="36"/>
    </row>
    <row r="29" spans="1:12" x14ac:dyDescent="0.25">
      <c r="A29" s="36"/>
      <c r="B29" s="36"/>
      <c r="C29" s="36"/>
      <c r="D29" s="36"/>
      <c r="E29" s="36"/>
      <c r="F29" s="36"/>
      <c r="G29" s="36"/>
      <c r="H29" s="36"/>
      <c r="I29" s="36"/>
      <c r="J29" s="36"/>
      <c r="K29" s="36"/>
      <c r="L29" s="36"/>
    </row>
    <row r="30" spans="1:12" x14ac:dyDescent="0.25">
      <c r="A30" s="46" t="s">
        <v>155</v>
      </c>
      <c r="B30" s="36"/>
      <c r="C30" s="36"/>
      <c r="D30" s="36"/>
      <c r="E30" s="36"/>
      <c r="F30" s="36"/>
      <c r="G30" s="36"/>
      <c r="H30" s="36"/>
      <c r="I30" s="36"/>
      <c r="J30" s="36"/>
      <c r="K30" s="36"/>
      <c r="L30" s="36"/>
    </row>
  </sheetData>
  <mergeCells count="3">
    <mergeCell ref="A22:L22"/>
    <mergeCell ref="A1:L1"/>
    <mergeCell ref="A23:L23"/>
  </mergeCells>
  <hyperlinks>
    <hyperlink ref="A26" r:id="rId1" xr:uid="{00000000-0004-0000-1200-000000000000}"/>
    <hyperlink ref="A28" location="'Technical specifications'!A1" display="Technical specifications" xr:uid="{00000000-0004-0000-1200-000001000000}"/>
    <hyperlink ref="A30" location="Contents!A1" display="Back to contents" xr:uid="{00000000-0004-0000-12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1"/>
  <sheetViews>
    <sheetView workbookViewId="0">
      <selection sqref="A1:F1"/>
    </sheetView>
  </sheetViews>
  <sheetFormatPr defaultRowHeight="15" x14ac:dyDescent="0.25"/>
  <cols>
    <col min="1" max="1" width="17" customWidth="1"/>
    <col min="2" max="2" width="15" customWidth="1"/>
    <col min="3" max="6" width="20" customWidth="1"/>
  </cols>
  <sheetData>
    <row r="1" spans="1:6" ht="33.75" customHeight="1" x14ac:dyDescent="0.25">
      <c r="A1" s="73" t="s">
        <v>19</v>
      </c>
      <c r="B1" s="74"/>
      <c r="C1" s="74"/>
      <c r="D1" s="74"/>
      <c r="E1" s="74"/>
      <c r="F1" s="74"/>
    </row>
    <row r="2" spans="1:6" ht="23.25" x14ac:dyDescent="0.25">
      <c r="A2" s="37" t="s">
        <v>180</v>
      </c>
      <c r="B2" s="37" t="s">
        <v>230</v>
      </c>
      <c r="C2" s="38" t="s">
        <v>219</v>
      </c>
      <c r="D2" s="38" t="s">
        <v>220</v>
      </c>
      <c r="E2" s="38" t="s">
        <v>221</v>
      </c>
      <c r="F2" s="38" t="s">
        <v>151</v>
      </c>
    </row>
    <row r="3" spans="1:6" x14ac:dyDescent="0.25">
      <c r="A3" s="39" t="s">
        <v>158</v>
      </c>
      <c r="B3" s="39" t="s">
        <v>181</v>
      </c>
      <c r="C3" s="40">
        <v>4210229</v>
      </c>
      <c r="D3" s="40">
        <v>550571</v>
      </c>
      <c r="E3" s="40">
        <v>99457</v>
      </c>
      <c r="F3" s="40">
        <v>4860257</v>
      </c>
    </row>
    <row r="4" spans="1:6" x14ac:dyDescent="0.25">
      <c r="A4" s="39" t="s">
        <v>158</v>
      </c>
      <c r="B4" s="39" t="s">
        <v>182</v>
      </c>
      <c r="C4" s="40">
        <v>1374454</v>
      </c>
      <c r="D4" s="40">
        <v>170791</v>
      </c>
      <c r="E4" s="40">
        <v>33894</v>
      </c>
      <c r="F4" s="40">
        <v>1579139</v>
      </c>
    </row>
    <row r="5" spans="1:6" x14ac:dyDescent="0.25">
      <c r="A5" s="39" t="s">
        <v>158</v>
      </c>
      <c r="B5" s="39" t="s">
        <v>183</v>
      </c>
      <c r="C5" s="40">
        <v>718441</v>
      </c>
      <c r="D5" s="40">
        <v>75893</v>
      </c>
      <c r="E5" s="40">
        <v>17123</v>
      </c>
      <c r="F5" s="40">
        <v>811457</v>
      </c>
    </row>
    <row r="6" spans="1:6" x14ac:dyDescent="0.25">
      <c r="A6" s="39" t="s">
        <v>158</v>
      </c>
      <c r="B6" s="39" t="s">
        <v>184</v>
      </c>
      <c r="C6" s="40">
        <v>137030</v>
      </c>
      <c r="D6" s="40">
        <v>7712</v>
      </c>
      <c r="E6" s="40">
        <v>2334</v>
      </c>
      <c r="F6" s="40">
        <v>147076</v>
      </c>
    </row>
    <row r="7" spans="1:6" x14ac:dyDescent="0.25">
      <c r="A7" s="39" t="s">
        <v>158</v>
      </c>
      <c r="B7" s="39" t="s">
        <v>185</v>
      </c>
      <c r="C7" s="40">
        <v>126934</v>
      </c>
      <c r="D7" s="40">
        <v>2567</v>
      </c>
      <c r="E7" s="40">
        <v>1128</v>
      </c>
      <c r="F7" s="40">
        <v>130629</v>
      </c>
    </row>
    <row r="8" spans="1:6" x14ac:dyDescent="0.25">
      <c r="A8" s="47" t="s">
        <v>158</v>
      </c>
      <c r="B8" s="47" t="s">
        <v>151</v>
      </c>
      <c r="C8" s="48">
        <v>6655083</v>
      </c>
      <c r="D8" s="48">
        <v>815102</v>
      </c>
      <c r="E8" s="48">
        <v>181367</v>
      </c>
      <c r="F8" s="48">
        <v>7651552</v>
      </c>
    </row>
    <row r="9" spans="1:6" x14ac:dyDescent="0.25">
      <c r="A9" s="39" t="s">
        <v>159</v>
      </c>
      <c r="B9" s="39" t="s">
        <v>181</v>
      </c>
      <c r="C9" s="40">
        <v>182981</v>
      </c>
      <c r="D9" s="40">
        <v>3248517</v>
      </c>
      <c r="E9" s="40">
        <v>439594</v>
      </c>
      <c r="F9" s="40">
        <v>3871092</v>
      </c>
    </row>
    <row r="10" spans="1:6" x14ac:dyDescent="0.25">
      <c r="A10" s="39" t="s">
        <v>159</v>
      </c>
      <c r="B10" s="39" t="s">
        <v>182</v>
      </c>
      <c r="C10" s="40">
        <v>66659</v>
      </c>
      <c r="D10" s="40">
        <v>696615</v>
      </c>
      <c r="E10" s="40">
        <v>118212</v>
      </c>
      <c r="F10" s="40">
        <v>881486</v>
      </c>
    </row>
    <row r="11" spans="1:6" x14ac:dyDescent="0.25">
      <c r="A11" s="39" t="s">
        <v>159</v>
      </c>
      <c r="B11" s="39" t="s">
        <v>183</v>
      </c>
      <c r="C11" s="40">
        <v>28245</v>
      </c>
      <c r="D11" s="40">
        <v>220717</v>
      </c>
      <c r="E11" s="40">
        <v>48618</v>
      </c>
      <c r="F11" s="40">
        <v>297580</v>
      </c>
    </row>
    <row r="12" spans="1:6" x14ac:dyDescent="0.25">
      <c r="A12" s="39" t="s">
        <v>159</v>
      </c>
      <c r="B12" s="39" t="s">
        <v>184</v>
      </c>
      <c r="C12" s="40">
        <v>6455</v>
      </c>
      <c r="D12" s="40">
        <v>19463</v>
      </c>
      <c r="E12" s="40">
        <v>3477</v>
      </c>
      <c r="F12" s="40">
        <v>29395</v>
      </c>
    </row>
    <row r="13" spans="1:6" x14ac:dyDescent="0.25">
      <c r="A13" s="39" t="s">
        <v>159</v>
      </c>
      <c r="B13" s="39" t="s">
        <v>185</v>
      </c>
      <c r="C13" s="40">
        <v>21923</v>
      </c>
      <c r="D13" s="40">
        <v>8224</v>
      </c>
      <c r="E13" s="40">
        <v>1754</v>
      </c>
      <c r="F13" s="40">
        <v>31901</v>
      </c>
    </row>
    <row r="14" spans="1:6" x14ac:dyDescent="0.25">
      <c r="A14" s="53" t="s">
        <v>159</v>
      </c>
      <c r="B14" s="53" t="s">
        <v>151</v>
      </c>
      <c r="C14" s="54">
        <v>306914</v>
      </c>
      <c r="D14" s="54">
        <v>4203646</v>
      </c>
      <c r="E14" s="54">
        <v>614592</v>
      </c>
      <c r="F14" s="54">
        <v>5125152</v>
      </c>
    </row>
    <row r="15" spans="1:6" x14ac:dyDescent="0.25">
      <c r="A15" s="45"/>
      <c r="B15" s="36"/>
      <c r="C15" s="36"/>
      <c r="D15" s="36"/>
      <c r="E15" s="36"/>
      <c r="F15" s="36"/>
    </row>
    <row r="16" spans="1:6" x14ac:dyDescent="0.25">
      <c r="A16" s="36" t="s">
        <v>153</v>
      </c>
      <c r="B16" s="36"/>
      <c r="C16" s="36"/>
      <c r="D16" s="36"/>
      <c r="E16" s="36"/>
      <c r="F16" s="36"/>
    </row>
    <row r="17" spans="1:6" x14ac:dyDescent="0.25">
      <c r="A17" s="46" t="s">
        <v>123</v>
      </c>
      <c r="B17" s="36"/>
      <c r="C17" s="36"/>
      <c r="D17" s="36"/>
      <c r="E17" s="36"/>
      <c r="F17" s="36"/>
    </row>
    <row r="18" spans="1:6" x14ac:dyDescent="0.25">
      <c r="A18" s="36"/>
      <c r="B18" s="36"/>
      <c r="C18" s="36"/>
      <c r="D18" s="36"/>
      <c r="E18" s="36"/>
      <c r="F18" s="36"/>
    </row>
    <row r="19" spans="1:6" x14ac:dyDescent="0.25">
      <c r="A19" s="46" t="s">
        <v>154</v>
      </c>
      <c r="B19" s="36"/>
      <c r="C19" s="36"/>
      <c r="D19" s="36"/>
      <c r="E19" s="36"/>
      <c r="F19" s="36"/>
    </row>
    <row r="20" spans="1:6" x14ac:dyDescent="0.25">
      <c r="A20" s="36"/>
      <c r="B20" s="36"/>
      <c r="C20" s="36"/>
      <c r="D20" s="36"/>
      <c r="E20" s="36"/>
      <c r="F20" s="36"/>
    </row>
    <row r="21" spans="1:6" x14ac:dyDescent="0.25">
      <c r="A21" s="46" t="s">
        <v>155</v>
      </c>
      <c r="B21" s="36"/>
      <c r="C21" s="36"/>
      <c r="D21" s="36"/>
      <c r="E21" s="36"/>
      <c r="F21" s="36"/>
    </row>
  </sheetData>
  <mergeCells count="1">
    <mergeCell ref="A1:F1"/>
  </mergeCells>
  <hyperlinks>
    <hyperlink ref="A17" r:id="rId1" xr:uid="{00000000-0004-0000-1300-000000000000}"/>
    <hyperlink ref="A19" location="'Technical specifications'!A1" display="Technical specifications" xr:uid="{00000000-0004-0000-1300-000001000000}"/>
    <hyperlink ref="A21" location="Contents!A1" display="Back to contents" xr:uid="{00000000-0004-0000-1300-00000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sqref="A1:H1"/>
    </sheetView>
  </sheetViews>
  <sheetFormatPr defaultRowHeight="15" x14ac:dyDescent="0.25"/>
  <cols>
    <col min="1" max="1" width="16" customWidth="1"/>
    <col min="2" max="2" width="32" customWidth="1"/>
    <col min="3" max="8" width="16.5703125" customWidth="1"/>
  </cols>
  <sheetData>
    <row r="1" spans="1:8" ht="33.75" customHeight="1" x14ac:dyDescent="0.25">
      <c r="A1" s="73" t="s">
        <v>20</v>
      </c>
      <c r="B1" s="74"/>
      <c r="C1" s="74"/>
      <c r="D1" s="74"/>
      <c r="E1" s="74"/>
      <c r="F1" s="74"/>
      <c r="G1" s="74"/>
      <c r="H1" s="74"/>
    </row>
    <row r="2" spans="1:8" x14ac:dyDescent="0.25">
      <c r="A2" s="37" t="s">
        <v>228</v>
      </c>
      <c r="B2" s="37" t="s">
        <v>126</v>
      </c>
      <c r="C2" s="38" t="s">
        <v>181</v>
      </c>
      <c r="D2" s="38" t="s">
        <v>182</v>
      </c>
      <c r="E2" s="38" t="s">
        <v>183</v>
      </c>
      <c r="F2" s="38" t="s">
        <v>184</v>
      </c>
      <c r="G2" s="38" t="s">
        <v>185</v>
      </c>
      <c r="H2" s="38" t="s">
        <v>151</v>
      </c>
    </row>
    <row r="3" spans="1:8" x14ac:dyDescent="0.25">
      <c r="A3" s="39" t="s">
        <v>170</v>
      </c>
      <c r="B3" s="39" t="s">
        <v>131</v>
      </c>
      <c r="C3" s="40">
        <v>5188218</v>
      </c>
      <c r="D3" s="40">
        <v>1458675</v>
      </c>
      <c r="E3" s="40">
        <v>670466</v>
      </c>
      <c r="F3" s="40">
        <v>108218</v>
      </c>
      <c r="G3" s="40">
        <v>110235</v>
      </c>
      <c r="H3" s="40">
        <v>7595952</v>
      </c>
    </row>
    <row r="4" spans="1:8" x14ac:dyDescent="0.25">
      <c r="A4" s="39" t="s">
        <v>170</v>
      </c>
      <c r="B4" s="39" t="s">
        <v>176</v>
      </c>
      <c r="C4" s="49">
        <v>241.13788768000001</v>
      </c>
      <c r="D4" s="49">
        <v>246.10276913000001</v>
      </c>
      <c r="E4" s="49">
        <v>258.30180674000002</v>
      </c>
      <c r="F4" s="49">
        <v>324.22455103999999</v>
      </c>
      <c r="G4" s="49">
        <v>563.10527643</v>
      </c>
      <c r="H4" s="49">
        <v>247.38722387000001</v>
      </c>
    </row>
    <row r="5" spans="1:8" x14ac:dyDescent="0.25">
      <c r="A5" s="39" t="s">
        <v>170</v>
      </c>
      <c r="B5" s="39" t="s">
        <v>186</v>
      </c>
      <c r="C5" s="49">
        <f>C4/$H4</f>
        <v>0.97473864619102568</v>
      </c>
      <c r="D5" s="49">
        <f t="shared" ref="D5:G5" si="0">D4/$H4</f>
        <v>0.99480791804885216</v>
      </c>
      <c r="E5" s="49">
        <f t="shared" si="0"/>
        <v>1.0441194282358557</v>
      </c>
      <c r="F5" s="49">
        <f t="shared" si="0"/>
        <v>1.310595373390735</v>
      </c>
      <c r="G5" s="49">
        <f t="shared" si="0"/>
        <v>2.276210014490915</v>
      </c>
      <c r="H5" s="63" t="s">
        <v>223</v>
      </c>
    </row>
    <row r="6" spans="1:8" x14ac:dyDescent="0.25">
      <c r="A6" s="39" t="s">
        <v>173</v>
      </c>
      <c r="B6" s="39" t="s">
        <v>131</v>
      </c>
      <c r="C6" s="40">
        <v>2735561</v>
      </c>
      <c r="D6" s="40">
        <v>848143</v>
      </c>
      <c r="E6" s="40">
        <v>387930</v>
      </c>
      <c r="F6" s="40">
        <v>63308</v>
      </c>
      <c r="G6" s="40">
        <v>49711</v>
      </c>
      <c r="H6" s="40">
        <v>4146870</v>
      </c>
    </row>
    <row r="7" spans="1:8" x14ac:dyDescent="0.25">
      <c r="A7" s="39" t="s">
        <v>173</v>
      </c>
      <c r="B7" s="39" t="s">
        <v>176</v>
      </c>
      <c r="C7" s="49">
        <v>127.24692904</v>
      </c>
      <c r="D7" s="49">
        <v>148.54196205</v>
      </c>
      <c r="E7" s="49">
        <v>155.02910761999999</v>
      </c>
      <c r="F7" s="49">
        <v>197.60709244</v>
      </c>
      <c r="G7" s="49">
        <v>262.99800706000002</v>
      </c>
      <c r="H7" s="49">
        <v>136.56343763999999</v>
      </c>
    </row>
    <row r="8" spans="1:8" ht="15.75" thickBot="1" x14ac:dyDescent="0.3">
      <c r="A8" s="55" t="s">
        <v>173</v>
      </c>
      <c r="B8" s="55" t="s">
        <v>186</v>
      </c>
      <c r="C8" s="70">
        <f>C7/$H7</f>
        <v>0.93177889513473156</v>
      </c>
      <c r="D8" s="70">
        <f t="shared" ref="D8:G8" si="1">D7/$H7</f>
        <v>1.0877139929764879</v>
      </c>
      <c r="E8" s="70">
        <f t="shared" si="1"/>
        <v>1.1352167922769933</v>
      </c>
      <c r="F8" s="70">
        <f t="shared" si="1"/>
        <v>1.4469985221148247</v>
      </c>
      <c r="G8" s="70">
        <f t="shared" si="1"/>
        <v>1.9258303071814797</v>
      </c>
      <c r="H8" s="69" t="s">
        <v>223</v>
      </c>
    </row>
    <row r="9" spans="1:8" x14ac:dyDescent="0.25">
      <c r="A9" s="75" t="s">
        <v>188</v>
      </c>
      <c r="B9" s="76"/>
      <c r="C9" s="76"/>
      <c r="D9" s="76"/>
      <c r="E9" s="76"/>
      <c r="F9" s="76"/>
      <c r="G9" s="76"/>
      <c r="H9" s="76"/>
    </row>
    <row r="10" spans="1:8" x14ac:dyDescent="0.25">
      <c r="A10" s="45"/>
      <c r="B10" s="36"/>
      <c r="C10" s="36"/>
      <c r="D10" s="36"/>
      <c r="E10" s="36"/>
      <c r="F10" s="36"/>
      <c r="G10" s="36"/>
      <c r="H10" s="36"/>
    </row>
    <row r="11" spans="1:8" x14ac:dyDescent="0.25">
      <c r="A11" s="36" t="s">
        <v>153</v>
      </c>
      <c r="B11" s="36"/>
      <c r="C11" s="36"/>
      <c r="D11" s="36"/>
      <c r="E11" s="36"/>
      <c r="F11" s="36"/>
      <c r="G11" s="36"/>
      <c r="H11" s="36"/>
    </row>
    <row r="12" spans="1:8" x14ac:dyDescent="0.25">
      <c r="A12" s="46" t="s">
        <v>123</v>
      </c>
      <c r="B12" s="36"/>
      <c r="C12" s="36"/>
      <c r="D12" s="36"/>
      <c r="E12" s="36"/>
      <c r="F12" s="36"/>
      <c r="G12" s="36"/>
      <c r="H12" s="36"/>
    </row>
    <row r="13" spans="1:8" x14ac:dyDescent="0.25">
      <c r="A13" s="36"/>
      <c r="B13" s="36"/>
      <c r="C13" s="36"/>
      <c r="D13" s="36"/>
      <c r="E13" s="36"/>
      <c r="F13" s="36"/>
      <c r="G13" s="36"/>
      <c r="H13" s="36"/>
    </row>
    <row r="14" spans="1:8" x14ac:dyDescent="0.25">
      <c r="A14" s="46" t="s">
        <v>154</v>
      </c>
      <c r="B14" s="36"/>
      <c r="C14" s="36"/>
      <c r="D14" s="36"/>
      <c r="E14" s="36"/>
      <c r="F14" s="36"/>
      <c r="G14" s="36"/>
      <c r="H14" s="36"/>
    </row>
    <row r="15" spans="1:8" x14ac:dyDescent="0.25">
      <c r="A15" s="36"/>
      <c r="B15" s="36"/>
      <c r="C15" s="36"/>
      <c r="D15" s="36"/>
      <c r="E15" s="36"/>
      <c r="F15" s="36"/>
      <c r="G15" s="36"/>
      <c r="H15" s="36"/>
    </row>
    <row r="16" spans="1:8" x14ac:dyDescent="0.25">
      <c r="A16" s="46" t="s">
        <v>155</v>
      </c>
      <c r="B16" s="36"/>
      <c r="C16" s="36"/>
      <c r="D16" s="36"/>
      <c r="E16" s="36"/>
      <c r="F16" s="36"/>
      <c r="G16" s="36"/>
      <c r="H16" s="36"/>
    </row>
  </sheetData>
  <mergeCells count="2">
    <mergeCell ref="A9:H9"/>
    <mergeCell ref="A1:H1"/>
  </mergeCells>
  <hyperlinks>
    <hyperlink ref="A12" r:id="rId1" xr:uid="{00000000-0004-0000-1400-000000000000}"/>
    <hyperlink ref="A14" location="'Technical specifications'!A1" display="Technical specifications" xr:uid="{00000000-0004-0000-1400-000001000000}"/>
    <hyperlink ref="A16" location="Contents!A1" display="Back to contents" xr:uid="{00000000-0004-0000-14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1"/>
  <sheetViews>
    <sheetView workbookViewId="0">
      <selection sqref="A1:F1"/>
    </sheetView>
  </sheetViews>
  <sheetFormatPr defaultRowHeight="15" x14ac:dyDescent="0.25"/>
  <cols>
    <col min="1" max="1" width="17" customWidth="1"/>
    <col min="2" max="2" width="22" customWidth="1"/>
    <col min="3" max="6" width="20" customWidth="1"/>
  </cols>
  <sheetData>
    <row r="1" spans="1:6" ht="33.75" customHeight="1" x14ac:dyDescent="0.25">
      <c r="A1" s="73" t="s">
        <v>21</v>
      </c>
      <c r="B1" s="74"/>
      <c r="C1" s="74"/>
      <c r="D1" s="74"/>
      <c r="E1" s="74"/>
      <c r="F1" s="74"/>
    </row>
    <row r="2" spans="1:6" ht="23.25" x14ac:dyDescent="0.25">
      <c r="A2" s="37" t="s">
        <v>180</v>
      </c>
      <c r="B2" s="71" t="s">
        <v>231</v>
      </c>
      <c r="C2" s="38" t="s">
        <v>219</v>
      </c>
      <c r="D2" s="38" t="s">
        <v>220</v>
      </c>
      <c r="E2" s="38" t="s">
        <v>221</v>
      </c>
      <c r="F2" s="38" t="s">
        <v>151</v>
      </c>
    </row>
    <row r="3" spans="1:6" x14ac:dyDescent="0.25">
      <c r="A3" s="39" t="s">
        <v>158</v>
      </c>
      <c r="B3" s="39" t="s">
        <v>189</v>
      </c>
      <c r="C3" s="40">
        <v>1831839</v>
      </c>
      <c r="D3" s="40">
        <v>124055</v>
      </c>
      <c r="E3" s="40">
        <v>37038</v>
      </c>
      <c r="F3" s="40">
        <v>1992932</v>
      </c>
    </row>
    <row r="4" spans="1:6" x14ac:dyDescent="0.25">
      <c r="A4" s="39" t="s">
        <v>158</v>
      </c>
      <c r="B4" s="39" t="s">
        <v>190</v>
      </c>
      <c r="C4" s="40">
        <v>1507258</v>
      </c>
      <c r="D4" s="40">
        <v>166639</v>
      </c>
      <c r="E4" s="40">
        <v>36604</v>
      </c>
      <c r="F4" s="40">
        <v>1710501</v>
      </c>
    </row>
    <row r="5" spans="1:6" x14ac:dyDescent="0.25">
      <c r="A5" s="39" t="s">
        <v>158</v>
      </c>
      <c r="B5" s="39" t="s">
        <v>191</v>
      </c>
      <c r="C5" s="40">
        <v>1363005</v>
      </c>
      <c r="D5" s="40">
        <v>179951</v>
      </c>
      <c r="E5" s="40">
        <v>31946</v>
      </c>
      <c r="F5" s="40">
        <v>1574902</v>
      </c>
    </row>
    <row r="6" spans="1:6" x14ac:dyDescent="0.25">
      <c r="A6" s="39" t="s">
        <v>158</v>
      </c>
      <c r="B6" s="39" t="s">
        <v>192</v>
      </c>
      <c r="C6" s="40">
        <v>1119996</v>
      </c>
      <c r="D6" s="40">
        <v>162305</v>
      </c>
      <c r="E6" s="40">
        <v>28948</v>
      </c>
      <c r="F6" s="40">
        <v>1311249</v>
      </c>
    </row>
    <row r="7" spans="1:6" x14ac:dyDescent="0.25">
      <c r="A7" s="39" t="s">
        <v>158</v>
      </c>
      <c r="B7" s="39" t="s">
        <v>193</v>
      </c>
      <c r="C7" s="40">
        <v>743973</v>
      </c>
      <c r="D7" s="40">
        <v>174546</v>
      </c>
      <c r="E7" s="40">
        <v>19257</v>
      </c>
      <c r="F7" s="40">
        <v>937776</v>
      </c>
    </row>
    <row r="8" spans="1:6" x14ac:dyDescent="0.25">
      <c r="A8" s="39" t="s">
        <v>158</v>
      </c>
      <c r="B8" s="39" t="s">
        <v>151</v>
      </c>
      <c r="C8" s="40">
        <v>6655083</v>
      </c>
      <c r="D8" s="40">
        <v>815102</v>
      </c>
      <c r="E8" s="40">
        <v>181367</v>
      </c>
      <c r="F8" s="40">
        <v>7651552</v>
      </c>
    </row>
    <row r="9" spans="1:6" x14ac:dyDescent="0.25">
      <c r="A9" s="39" t="s">
        <v>159</v>
      </c>
      <c r="B9" s="39" t="s">
        <v>189</v>
      </c>
      <c r="C9" s="40">
        <v>95033</v>
      </c>
      <c r="D9" s="40">
        <v>446347</v>
      </c>
      <c r="E9" s="40">
        <v>122421</v>
      </c>
      <c r="F9" s="40">
        <v>663801</v>
      </c>
    </row>
    <row r="10" spans="1:6" x14ac:dyDescent="0.25">
      <c r="A10" s="39" t="s">
        <v>159</v>
      </c>
      <c r="B10" s="39" t="s">
        <v>190</v>
      </c>
      <c r="C10" s="40">
        <v>64364</v>
      </c>
      <c r="D10" s="40">
        <v>638700</v>
      </c>
      <c r="E10" s="40">
        <v>120757</v>
      </c>
      <c r="F10" s="40">
        <v>823821</v>
      </c>
    </row>
    <row r="11" spans="1:6" x14ac:dyDescent="0.25">
      <c r="A11" s="39" t="s">
        <v>159</v>
      </c>
      <c r="B11" s="39" t="s">
        <v>191</v>
      </c>
      <c r="C11" s="40">
        <v>67485</v>
      </c>
      <c r="D11" s="40">
        <v>871260</v>
      </c>
      <c r="E11" s="40">
        <v>137451</v>
      </c>
      <c r="F11" s="40">
        <v>1076196</v>
      </c>
    </row>
    <row r="12" spans="1:6" x14ac:dyDescent="0.25">
      <c r="A12" s="39" t="s">
        <v>159</v>
      </c>
      <c r="B12" s="39" t="s">
        <v>192</v>
      </c>
      <c r="C12" s="40">
        <v>53271</v>
      </c>
      <c r="D12" s="40">
        <v>977351</v>
      </c>
      <c r="E12" s="40">
        <v>129853</v>
      </c>
      <c r="F12" s="40">
        <v>1160475</v>
      </c>
    </row>
    <row r="13" spans="1:6" x14ac:dyDescent="0.25">
      <c r="A13" s="39" t="s">
        <v>159</v>
      </c>
      <c r="B13" s="39" t="s">
        <v>193</v>
      </c>
      <c r="C13" s="40">
        <v>26102</v>
      </c>
      <c r="D13" s="40">
        <v>1259747</v>
      </c>
      <c r="E13" s="40">
        <v>101115</v>
      </c>
      <c r="F13" s="40">
        <v>1386964</v>
      </c>
    </row>
    <row r="14" spans="1:6" x14ac:dyDescent="0.25">
      <c r="A14" s="55" t="s">
        <v>159</v>
      </c>
      <c r="B14" s="55" t="s">
        <v>151</v>
      </c>
      <c r="C14" s="57">
        <v>306914</v>
      </c>
      <c r="D14" s="57">
        <v>4203646</v>
      </c>
      <c r="E14" s="57">
        <v>614592</v>
      </c>
      <c r="F14" s="57">
        <v>5125152</v>
      </c>
    </row>
    <row r="15" spans="1:6" x14ac:dyDescent="0.25">
      <c r="A15" s="45"/>
      <c r="B15" s="36"/>
      <c r="C15" s="36"/>
      <c r="D15" s="36"/>
      <c r="E15" s="36"/>
      <c r="F15" s="36"/>
    </row>
    <row r="16" spans="1:6" x14ac:dyDescent="0.25">
      <c r="A16" s="36" t="s">
        <v>153</v>
      </c>
      <c r="B16" s="36"/>
      <c r="C16" s="36"/>
      <c r="D16" s="36"/>
      <c r="E16" s="36"/>
      <c r="F16" s="36"/>
    </row>
    <row r="17" spans="1:6" x14ac:dyDescent="0.25">
      <c r="A17" s="46" t="s">
        <v>123</v>
      </c>
      <c r="B17" s="36"/>
      <c r="C17" s="36"/>
      <c r="D17" s="36"/>
      <c r="E17" s="36"/>
      <c r="F17" s="36"/>
    </row>
    <row r="18" spans="1:6" x14ac:dyDescent="0.25">
      <c r="A18" s="36"/>
      <c r="B18" s="36"/>
      <c r="C18" s="36"/>
      <c r="D18" s="36"/>
      <c r="E18" s="36"/>
      <c r="F18" s="36"/>
    </row>
    <row r="19" spans="1:6" x14ac:dyDescent="0.25">
      <c r="A19" s="46" t="s">
        <v>154</v>
      </c>
      <c r="B19" s="36"/>
      <c r="C19" s="36"/>
      <c r="D19" s="36"/>
      <c r="E19" s="36"/>
      <c r="F19" s="36"/>
    </row>
    <row r="20" spans="1:6" x14ac:dyDescent="0.25">
      <c r="A20" s="36"/>
      <c r="B20" s="36"/>
      <c r="C20" s="36"/>
      <c r="D20" s="36"/>
      <c r="E20" s="36"/>
      <c r="F20" s="36"/>
    </row>
    <row r="21" spans="1:6" x14ac:dyDescent="0.25">
      <c r="A21" s="46" t="s">
        <v>155</v>
      </c>
      <c r="B21" s="36"/>
      <c r="C21" s="36"/>
      <c r="D21" s="36"/>
      <c r="E21" s="36"/>
      <c r="F21" s="36"/>
    </row>
  </sheetData>
  <mergeCells count="1">
    <mergeCell ref="A1:F1"/>
  </mergeCells>
  <hyperlinks>
    <hyperlink ref="A17" r:id="rId1" xr:uid="{00000000-0004-0000-1500-000000000000}"/>
    <hyperlink ref="A19" location="'Technical specifications'!A1" display="Technical specifications" xr:uid="{00000000-0004-0000-1500-000001000000}"/>
    <hyperlink ref="A21" location="Contents!A1" display="Back to contents" xr:uid="{00000000-0004-0000-1500-000002000000}"/>
  </hyperlinks>
  <pageMargins left="0.75" right="0.75" top="1" bottom="1" header="0.5" footer="0.5"/>
  <ignoredErrors>
    <ignoredError sqref="B4:B6 B10:B12"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workbookViewId="0">
      <selection sqref="A1:H1"/>
    </sheetView>
  </sheetViews>
  <sheetFormatPr defaultRowHeight="15" x14ac:dyDescent="0.25"/>
  <cols>
    <col min="1" max="1" width="16" customWidth="1"/>
    <col min="2" max="2" width="32" customWidth="1"/>
    <col min="3" max="3" width="10" customWidth="1"/>
    <col min="4" max="7" width="12" customWidth="1"/>
    <col min="8" max="8" width="8.42578125" customWidth="1"/>
  </cols>
  <sheetData>
    <row r="1" spans="1:8" ht="33.75" customHeight="1" x14ac:dyDescent="0.25">
      <c r="A1" s="73" t="s">
        <v>22</v>
      </c>
      <c r="B1" s="74"/>
      <c r="C1" s="74"/>
      <c r="D1" s="74"/>
      <c r="E1" s="74"/>
      <c r="F1" s="74"/>
      <c r="G1" s="74"/>
      <c r="H1" s="74"/>
    </row>
    <row r="2" spans="1:8" x14ac:dyDescent="0.25">
      <c r="A2" s="37" t="s">
        <v>228</v>
      </c>
      <c r="B2" s="37" t="s">
        <v>126</v>
      </c>
      <c r="C2" s="38" t="s">
        <v>189</v>
      </c>
      <c r="D2" s="38" t="s">
        <v>190</v>
      </c>
      <c r="E2" s="38" t="s">
        <v>191</v>
      </c>
      <c r="F2" s="38" t="s">
        <v>192</v>
      </c>
      <c r="G2" s="38" t="s">
        <v>193</v>
      </c>
      <c r="H2" s="38" t="s">
        <v>151</v>
      </c>
    </row>
    <row r="3" spans="1:8" x14ac:dyDescent="0.25">
      <c r="A3" s="39" t="s">
        <v>170</v>
      </c>
      <c r="B3" s="39" t="s">
        <v>131</v>
      </c>
      <c r="C3" s="40">
        <v>1594866</v>
      </c>
      <c r="D3" s="40">
        <v>1488489</v>
      </c>
      <c r="E3" s="40">
        <v>1580049</v>
      </c>
      <c r="F3" s="40">
        <v>1488741</v>
      </c>
      <c r="G3" s="40">
        <v>1382850</v>
      </c>
      <c r="H3" s="40">
        <v>7595952</v>
      </c>
    </row>
    <row r="4" spans="1:8" x14ac:dyDescent="0.25">
      <c r="A4" s="39" t="s">
        <v>170</v>
      </c>
      <c r="B4" s="39" t="s">
        <v>176</v>
      </c>
      <c r="C4" s="49">
        <v>276.66013856000001</v>
      </c>
      <c r="D4" s="49">
        <v>245.99846273</v>
      </c>
      <c r="E4" s="49">
        <v>240.17071883</v>
      </c>
      <c r="F4" s="49">
        <v>239.82647012999999</v>
      </c>
      <c r="G4" s="49">
        <v>228.25386517999999</v>
      </c>
      <c r="H4" s="49">
        <v>247.37116384000001</v>
      </c>
    </row>
    <row r="5" spans="1:8" x14ac:dyDescent="0.25">
      <c r="A5" s="39" t="s">
        <v>170</v>
      </c>
      <c r="B5" s="39" t="s">
        <v>186</v>
      </c>
      <c r="C5" s="49">
        <f>C4/$H4</f>
        <v>1.1184009254164489</v>
      </c>
      <c r="D5" s="49">
        <f t="shared" ref="D5:G5" si="0">D4/$H4</f>
        <v>0.99445084427509156</v>
      </c>
      <c r="E5" s="49">
        <f t="shared" si="0"/>
        <v>0.97089214078866015</v>
      </c>
      <c r="F5" s="49">
        <f t="shared" si="0"/>
        <v>0.96950051253799352</v>
      </c>
      <c r="G5" s="49">
        <f t="shared" si="0"/>
        <v>0.92271816017987807</v>
      </c>
      <c r="H5" s="63" t="s">
        <v>223</v>
      </c>
    </row>
    <row r="6" spans="1:8" x14ac:dyDescent="0.25">
      <c r="A6" s="39" t="s">
        <v>173</v>
      </c>
      <c r="B6" s="39" t="s">
        <v>131</v>
      </c>
      <c r="C6" s="40">
        <v>902684</v>
      </c>
      <c r="D6" s="40">
        <v>866483</v>
      </c>
      <c r="E6" s="40">
        <v>866960</v>
      </c>
      <c r="F6" s="40">
        <v>770788</v>
      </c>
      <c r="G6" s="40">
        <v>677244</v>
      </c>
      <c r="H6" s="40">
        <v>4146870</v>
      </c>
    </row>
    <row r="7" spans="1:8" x14ac:dyDescent="0.25">
      <c r="A7" s="39" t="s">
        <v>173</v>
      </c>
      <c r="B7" s="39" t="s">
        <v>176</v>
      </c>
      <c r="C7" s="49">
        <v>158.10810352999999</v>
      </c>
      <c r="D7" s="49">
        <v>144.92744956000001</v>
      </c>
      <c r="E7" s="49">
        <v>133.35312274</v>
      </c>
      <c r="F7" s="49">
        <v>124.8318656</v>
      </c>
      <c r="G7" s="49">
        <v>113.29481156</v>
      </c>
      <c r="H7" s="49">
        <v>136.55799746</v>
      </c>
    </row>
    <row r="8" spans="1:8" ht="15.75" thickBot="1" x14ac:dyDescent="0.3">
      <c r="A8" s="55" t="s">
        <v>173</v>
      </c>
      <c r="B8" s="55" t="s">
        <v>186</v>
      </c>
      <c r="C8" s="70">
        <f>C7/$H7</f>
        <v>1.1578091834300102</v>
      </c>
      <c r="D8" s="70">
        <f t="shared" ref="D8:G8" si="1">D7/$H7</f>
        <v>1.0612886264859849</v>
      </c>
      <c r="E8" s="70">
        <f t="shared" si="1"/>
        <v>0.97653103604614044</v>
      </c>
      <c r="F8" s="70">
        <f t="shared" si="1"/>
        <v>0.91413075705482016</v>
      </c>
      <c r="G8" s="70">
        <f t="shared" si="1"/>
        <v>0.82964611130289789</v>
      </c>
      <c r="H8" s="72" t="s">
        <v>223</v>
      </c>
    </row>
    <row r="9" spans="1:8" x14ac:dyDescent="0.25">
      <c r="A9" s="45"/>
      <c r="B9" s="36"/>
      <c r="C9" s="36"/>
      <c r="D9" s="36"/>
      <c r="E9" s="36"/>
      <c r="F9" s="36"/>
      <c r="G9" s="36"/>
      <c r="H9" s="36"/>
    </row>
    <row r="10" spans="1:8" x14ac:dyDescent="0.25">
      <c r="A10" s="36" t="s">
        <v>153</v>
      </c>
      <c r="B10" s="36"/>
      <c r="C10" s="36"/>
      <c r="D10" s="36"/>
      <c r="E10" s="36"/>
      <c r="F10" s="36"/>
      <c r="G10" s="36"/>
      <c r="H10" s="36"/>
    </row>
    <row r="11" spans="1:8" x14ac:dyDescent="0.25">
      <c r="A11" s="46" t="s">
        <v>123</v>
      </c>
      <c r="B11" s="36"/>
      <c r="C11" s="36"/>
      <c r="D11" s="36"/>
      <c r="E11" s="36"/>
      <c r="F11" s="36"/>
      <c r="G11" s="36"/>
      <c r="H11" s="36"/>
    </row>
    <row r="12" spans="1:8" x14ac:dyDescent="0.25">
      <c r="A12" s="36"/>
      <c r="B12" s="36"/>
      <c r="C12" s="36"/>
      <c r="D12" s="36"/>
      <c r="E12" s="36"/>
      <c r="F12" s="36"/>
      <c r="G12" s="36"/>
      <c r="H12" s="36"/>
    </row>
    <row r="13" spans="1:8" x14ac:dyDescent="0.25">
      <c r="A13" s="46" t="s">
        <v>154</v>
      </c>
      <c r="B13" s="36"/>
      <c r="C13" s="36"/>
      <c r="D13" s="36"/>
      <c r="E13" s="36"/>
      <c r="F13" s="36"/>
      <c r="G13" s="36"/>
      <c r="H13" s="36"/>
    </row>
    <row r="14" spans="1:8" x14ac:dyDescent="0.25">
      <c r="A14" s="36"/>
      <c r="B14" s="36"/>
      <c r="C14" s="36"/>
      <c r="D14" s="36"/>
      <c r="E14" s="36"/>
      <c r="F14" s="36"/>
      <c r="G14" s="36"/>
      <c r="H14" s="36"/>
    </row>
    <row r="15" spans="1:8" x14ac:dyDescent="0.25">
      <c r="A15" s="46" t="s">
        <v>155</v>
      </c>
      <c r="B15" s="36"/>
      <c r="C15" s="36"/>
      <c r="D15" s="36"/>
      <c r="E15" s="36"/>
      <c r="F15" s="36"/>
      <c r="G15" s="36"/>
      <c r="H15" s="36"/>
    </row>
  </sheetData>
  <mergeCells count="1">
    <mergeCell ref="A1:H1"/>
  </mergeCells>
  <hyperlinks>
    <hyperlink ref="A11" r:id="rId1" xr:uid="{00000000-0004-0000-1600-000000000000}"/>
    <hyperlink ref="A13" location="'Technical specifications'!A1" display="Technical specifications" xr:uid="{00000000-0004-0000-1600-000001000000}"/>
    <hyperlink ref="A15" location="Contents!A1" display="Back to contents" xr:uid="{00000000-0004-0000-1600-000002000000}"/>
  </hyperlinks>
  <pageMargins left="0.75" right="0.75" top="1" bottom="1" header="0.5" footer="0.5"/>
  <ignoredErrors>
    <ignoredError sqref="D2:F2"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FA1E-20CB-4E15-AFDE-22B848772E74}">
  <dimension ref="A2:M219"/>
  <sheetViews>
    <sheetView showGridLines="0" zoomScaleNormal="100" workbookViewId="0"/>
  </sheetViews>
  <sheetFormatPr defaultColWidth="9.140625" defaultRowHeight="15" x14ac:dyDescent="0.25"/>
  <cols>
    <col min="1" max="1" width="5.28515625" style="2" customWidth="1"/>
    <col min="2" max="2" width="11.85546875" style="2" customWidth="1"/>
    <col min="3" max="3" width="74" style="2" customWidth="1"/>
    <col min="4" max="5" width="9.140625" style="2" customWidth="1"/>
    <col min="6" max="16384" width="9.140625" style="2"/>
  </cols>
  <sheetData>
    <row r="2" spans="2:2" ht="20.25" customHeight="1" x14ac:dyDescent="0.3">
      <c r="B2" s="8" t="s">
        <v>24</v>
      </c>
    </row>
    <row r="3" spans="2:2" ht="18" customHeight="1" x14ac:dyDescent="0.25">
      <c r="B3" s="9"/>
    </row>
    <row r="4" spans="2:2" ht="15.75" customHeight="1" x14ac:dyDescent="0.25">
      <c r="B4" s="10" t="s">
        <v>25</v>
      </c>
    </row>
    <row r="5" spans="2:2" x14ac:dyDescent="0.25">
      <c r="B5" s="11" t="s">
        <v>26</v>
      </c>
    </row>
    <row r="6" spans="2:2" x14ac:dyDescent="0.25">
      <c r="B6" s="11" t="s">
        <v>27</v>
      </c>
    </row>
    <row r="7" spans="2:2" x14ac:dyDescent="0.25">
      <c r="B7" s="11" t="s">
        <v>28</v>
      </c>
    </row>
    <row r="8" spans="2:2" x14ac:dyDescent="0.25">
      <c r="B8" s="11"/>
    </row>
    <row r="9" spans="2:2" ht="15.75" customHeight="1" x14ac:dyDescent="0.25">
      <c r="B9" s="10" t="s">
        <v>29</v>
      </c>
    </row>
    <row r="10" spans="2:2" x14ac:dyDescent="0.25">
      <c r="B10" s="11" t="s">
        <v>30</v>
      </c>
    </row>
    <row r="11" spans="2:2" x14ac:dyDescent="0.25">
      <c r="B11" s="11"/>
    </row>
    <row r="12" spans="2:2" ht="15.75" customHeight="1" x14ac:dyDescent="0.25">
      <c r="B12" s="10" t="s">
        <v>31</v>
      </c>
    </row>
    <row r="13" spans="2:2" x14ac:dyDescent="0.25">
      <c r="B13" s="11" t="s">
        <v>32</v>
      </c>
    </row>
    <row r="14" spans="2:2" x14ac:dyDescent="0.25">
      <c r="B14" s="11" t="s">
        <v>33</v>
      </c>
    </row>
    <row r="15" spans="2:2" x14ac:dyDescent="0.25">
      <c r="B15" s="11"/>
    </row>
    <row r="16" spans="2:2" ht="15.75" customHeight="1" x14ac:dyDescent="0.25">
      <c r="B16" s="10" t="s">
        <v>34</v>
      </c>
    </row>
    <row r="17" spans="2:2" x14ac:dyDescent="0.25">
      <c r="B17" s="11" t="s">
        <v>35</v>
      </c>
    </row>
    <row r="18" spans="2:2" x14ac:dyDescent="0.25">
      <c r="B18" s="11" t="s">
        <v>36</v>
      </c>
    </row>
    <row r="19" spans="2:2" x14ac:dyDescent="0.25">
      <c r="B19" s="11" t="s">
        <v>37</v>
      </c>
    </row>
    <row r="20" spans="2:2" x14ac:dyDescent="0.25">
      <c r="B20" s="11" t="s">
        <v>38</v>
      </c>
    </row>
    <row r="21" spans="2:2" x14ac:dyDescent="0.25">
      <c r="B21" s="11"/>
    </row>
    <row r="22" spans="2:2" ht="15.75" customHeight="1" x14ac:dyDescent="0.25">
      <c r="B22" s="10" t="s">
        <v>39</v>
      </c>
    </row>
    <row r="23" spans="2:2" x14ac:dyDescent="0.25">
      <c r="B23" s="11" t="s">
        <v>40</v>
      </c>
    </row>
    <row r="24" spans="2:2" x14ac:dyDescent="0.25">
      <c r="B24" s="11"/>
    </row>
    <row r="25" spans="2:2" ht="15.75" customHeight="1" x14ac:dyDescent="0.25">
      <c r="B25" s="10" t="s">
        <v>41</v>
      </c>
    </row>
    <row r="26" spans="2:2" x14ac:dyDescent="0.25">
      <c r="B26" s="11" t="s">
        <v>42</v>
      </c>
    </row>
    <row r="27" spans="2:2" x14ac:dyDescent="0.25">
      <c r="B27" s="11" t="s">
        <v>43</v>
      </c>
    </row>
    <row r="28" spans="2:2" x14ac:dyDescent="0.25">
      <c r="B28" s="11" t="s">
        <v>44</v>
      </c>
    </row>
    <row r="29" spans="2:2" x14ac:dyDescent="0.25">
      <c r="B29" s="11" t="s">
        <v>45</v>
      </c>
    </row>
    <row r="30" spans="2:2" x14ac:dyDescent="0.25">
      <c r="B30" s="11" t="s">
        <v>46</v>
      </c>
    </row>
    <row r="31" spans="2:2" x14ac:dyDescent="0.25">
      <c r="B31" s="11" t="s">
        <v>47</v>
      </c>
    </row>
    <row r="32" spans="2:2" x14ac:dyDescent="0.25">
      <c r="B32" s="11" t="s">
        <v>48</v>
      </c>
    </row>
    <row r="33" spans="2:2" x14ac:dyDescent="0.25">
      <c r="B33" s="11" t="s">
        <v>49</v>
      </c>
    </row>
    <row r="34" spans="2:2" x14ac:dyDescent="0.25">
      <c r="B34" s="11"/>
    </row>
    <row r="35" spans="2:2" ht="15.75" customHeight="1" x14ac:dyDescent="0.25">
      <c r="B35" s="10" t="s">
        <v>50</v>
      </c>
    </row>
    <row r="36" spans="2:2" x14ac:dyDescent="0.25">
      <c r="B36" s="11" t="s">
        <v>51</v>
      </c>
    </row>
    <row r="37" spans="2:2" x14ac:dyDescent="0.25">
      <c r="B37" s="11" t="s">
        <v>52</v>
      </c>
    </row>
    <row r="38" spans="2:2" x14ac:dyDescent="0.25">
      <c r="B38" s="11" t="s">
        <v>53</v>
      </c>
    </row>
    <row r="39" spans="2:2" x14ac:dyDescent="0.25">
      <c r="B39" s="11" t="s">
        <v>54</v>
      </c>
    </row>
    <row r="40" spans="2:2" x14ac:dyDescent="0.25">
      <c r="B40" s="31" t="s">
        <v>55</v>
      </c>
    </row>
    <row r="41" spans="2:2" x14ac:dyDescent="0.25">
      <c r="B41" s="11" t="s">
        <v>56</v>
      </c>
    </row>
    <row r="42" spans="2:2" x14ac:dyDescent="0.25">
      <c r="B42" s="11" t="s">
        <v>57</v>
      </c>
    </row>
    <row r="43" spans="2:2" x14ac:dyDescent="0.25">
      <c r="B43" s="11" t="s">
        <v>58</v>
      </c>
    </row>
    <row r="44" spans="2:2" x14ac:dyDescent="0.25">
      <c r="B44" s="11" t="s">
        <v>59</v>
      </c>
    </row>
    <row r="45" spans="2:2" x14ac:dyDescent="0.25">
      <c r="B45" s="11" t="s">
        <v>60</v>
      </c>
    </row>
    <row r="46" spans="2:2" x14ac:dyDescent="0.25">
      <c r="B46" s="11" t="s">
        <v>61</v>
      </c>
    </row>
    <row r="47" spans="2:2" x14ac:dyDescent="0.25">
      <c r="B47" s="11" t="s">
        <v>62</v>
      </c>
    </row>
    <row r="48" spans="2:2" x14ac:dyDescent="0.25">
      <c r="B48" s="11" t="s">
        <v>63</v>
      </c>
    </row>
    <row r="49" spans="1:3" x14ac:dyDescent="0.25">
      <c r="B49" s="11" t="s">
        <v>64</v>
      </c>
    </row>
    <row r="50" spans="1:3" x14ac:dyDescent="0.25">
      <c r="B50" s="11"/>
    </row>
    <row r="51" spans="1:3" ht="15.75" customHeight="1" x14ac:dyDescent="0.25">
      <c r="B51" s="10" t="s">
        <v>65</v>
      </c>
      <c r="C51" s="12"/>
    </row>
    <row r="52" spans="1:3" ht="16.5" customHeight="1" x14ac:dyDescent="0.3">
      <c r="B52" s="13" t="s">
        <v>232</v>
      </c>
      <c r="C52" s="14"/>
    </row>
    <row r="53" spans="1:3" x14ac:dyDescent="0.25">
      <c r="B53" s="11" t="s">
        <v>233</v>
      </c>
    </row>
    <row r="54" spans="1:3" ht="16.5" customHeight="1" x14ac:dyDescent="0.3">
      <c r="B54" s="11" t="s">
        <v>239</v>
      </c>
      <c r="C54" s="14"/>
    </row>
    <row r="55" spans="1:3" x14ac:dyDescent="0.25">
      <c r="B55" s="11"/>
    </row>
    <row r="56" spans="1:3" ht="15.75" customHeight="1" x14ac:dyDescent="0.25">
      <c r="B56" s="10" t="s">
        <v>234</v>
      </c>
    </row>
    <row r="57" spans="1:3" x14ac:dyDescent="0.25">
      <c r="B57" s="13" t="s">
        <v>67</v>
      </c>
    </row>
    <row r="58" spans="1:3" x14ac:dyDescent="0.25">
      <c r="B58" s="13" t="s">
        <v>235</v>
      </c>
    </row>
    <row r="59" spans="1:3" x14ac:dyDescent="0.25">
      <c r="B59" s="13" t="s">
        <v>236</v>
      </c>
    </row>
    <row r="60" spans="1:3" x14ac:dyDescent="0.25">
      <c r="B60" s="13" t="s">
        <v>237</v>
      </c>
    </row>
    <row r="61" spans="1:3" x14ac:dyDescent="0.25">
      <c r="B61" s="11" t="s">
        <v>240</v>
      </c>
    </row>
    <row r="62" spans="1:3" x14ac:dyDescent="0.25">
      <c r="B62" s="11"/>
    </row>
    <row r="63" spans="1:3" ht="15.75" customHeight="1" x14ac:dyDescent="0.25">
      <c r="A63" s="15"/>
      <c r="B63" s="10" t="s">
        <v>66</v>
      </c>
    </row>
    <row r="64" spans="1:3" ht="15.75" customHeight="1" x14ac:dyDescent="0.25">
      <c r="A64" s="15"/>
      <c r="B64" s="10"/>
    </row>
    <row r="65" spans="1:2" x14ac:dyDescent="0.25">
      <c r="A65" s="15"/>
      <c r="B65" s="15" t="s">
        <v>2</v>
      </c>
    </row>
    <row r="66" spans="1:2" x14ac:dyDescent="0.25">
      <c r="A66" s="15"/>
      <c r="B66" s="11" t="s">
        <v>67</v>
      </c>
    </row>
    <row r="67" spans="1:2" x14ac:dyDescent="0.25">
      <c r="A67" s="15"/>
      <c r="B67" s="11" t="s">
        <v>68</v>
      </c>
    </row>
    <row r="68" spans="1:2" x14ac:dyDescent="0.25">
      <c r="A68" s="15"/>
      <c r="B68" s="11" t="s">
        <v>69</v>
      </c>
    </row>
    <row r="69" spans="1:2" x14ac:dyDescent="0.25">
      <c r="A69" s="15"/>
      <c r="B69" s="11" t="s">
        <v>70</v>
      </c>
    </row>
    <row r="70" spans="1:2" x14ac:dyDescent="0.25">
      <c r="A70" s="15"/>
      <c r="B70" s="11" t="s">
        <v>71</v>
      </c>
    </row>
    <row r="71" spans="1:2" x14ac:dyDescent="0.25">
      <c r="A71" s="15"/>
      <c r="B71" s="11" t="s">
        <v>72</v>
      </c>
    </row>
    <row r="72" spans="1:2" x14ac:dyDescent="0.25">
      <c r="A72" s="15"/>
      <c r="B72" s="11"/>
    </row>
    <row r="73" spans="1:2" x14ac:dyDescent="0.25">
      <c r="A73" s="15"/>
      <c r="B73" s="15" t="s">
        <v>3</v>
      </c>
    </row>
    <row r="74" spans="1:2" x14ac:dyDescent="0.25">
      <c r="A74" s="15"/>
      <c r="B74" s="11" t="s">
        <v>67</v>
      </c>
    </row>
    <row r="75" spans="1:2" x14ac:dyDescent="0.25">
      <c r="A75" s="15"/>
      <c r="B75" s="11" t="s">
        <v>73</v>
      </c>
    </row>
    <row r="76" spans="1:2" x14ac:dyDescent="0.25">
      <c r="A76" s="15"/>
      <c r="B76" s="11" t="s">
        <v>74</v>
      </c>
    </row>
    <row r="77" spans="1:2" x14ac:dyDescent="0.25">
      <c r="A77" s="15"/>
      <c r="B77" s="11" t="s">
        <v>75</v>
      </c>
    </row>
    <row r="78" spans="1:2" x14ac:dyDescent="0.25">
      <c r="A78" s="15"/>
      <c r="B78" s="11"/>
    </row>
    <row r="79" spans="1:2" x14ac:dyDescent="0.25">
      <c r="A79" s="15"/>
      <c r="B79" s="15" t="s">
        <v>76</v>
      </c>
    </row>
    <row r="80" spans="1:2" x14ac:dyDescent="0.25">
      <c r="A80" s="15"/>
      <c r="B80" s="11" t="s">
        <v>67</v>
      </c>
    </row>
    <row r="81" spans="1:11" x14ac:dyDescent="0.25">
      <c r="A81" s="15"/>
      <c r="B81" s="11" t="s">
        <v>73</v>
      </c>
    </row>
    <row r="82" spans="1:11" x14ac:dyDescent="0.25">
      <c r="A82" s="15"/>
      <c r="B82" s="11" t="s">
        <v>74</v>
      </c>
      <c r="D82" s="16"/>
      <c r="E82" s="16"/>
      <c r="F82" s="16"/>
      <c r="G82" s="16"/>
      <c r="H82" s="16"/>
      <c r="I82" s="16"/>
      <c r="J82" s="16"/>
      <c r="K82" s="16"/>
    </row>
    <row r="83" spans="1:11" x14ac:dyDescent="0.25">
      <c r="A83" s="15"/>
      <c r="B83" s="11" t="s">
        <v>75</v>
      </c>
      <c r="D83" s="16"/>
      <c r="E83" s="16"/>
      <c r="F83" s="16"/>
      <c r="G83" s="16"/>
      <c r="H83" s="16"/>
      <c r="I83" s="16"/>
      <c r="J83" s="16"/>
      <c r="K83" s="16"/>
    </row>
    <row r="84" spans="1:11" x14ac:dyDescent="0.25">
      <c r="A84" s="15"/>
      <c r="B84" s="11" t="s">
        <v>77</v>
      </c>
      <c r="D84" s="16"/>
      <c r="E84" s="16"/>
      <c r="F84" s="16"/>
      <c r="G84" s="16"/>
      <c r="H84" s="16"/>
      <c r="I84" s="16"/>
      <c r="J84" s="16"/>
      <c r="K84" s="16"/>
    </row>
    <row r="85" spans="1:11" ht="38.25" customHeight="1" x14ac:dyDescent="0.25">
      <c r="A85" s="15"/>
      <c r="C85" s="17" t="s">
        <v>78</v>
      </c>
      <c r="D85" s="16"/>
      <c r="E85" s="16"/>
      <c r="F85" s="16"/>
      <c r="G85" s="16"/>
      <c r="H85" s="16"/>
      <c r="I85" s="16"/>
      <c r="J85" s="16"/>
      <c r="K85" s="16"/>
    </row>
    <row r="86" spans="1:11" ht="38.25" customHeight="1" x14ac:dyDescent="0.25">
      <c r="A86" s="15"/>
      <c r="C86" s="17" t="s">
        <v>79</v>
      </c>
      <c r="D86" s="16"/>
      <c r="E86" s="16"/>
      <c r="F86" s="16"/>
      <c r="G86" s="16"/>
      <c r="H86" s="16"/>
      <c r="I86" s="16"/>
      <c r="J86" s="16"/>
      <c r="K86" s="16"/>
    </row>
    <row r="87" spans="1:11" ht="25.5" customHeight="1" x14ac:dyDescent="0.25">
      <c r="A87" s="15"/>
      <c r="C87" s="17" t="s">
        <v>80</v>
      </c>
    </row>
    <row r="88" spans="1:11" ht="25.5" customHeight="1" x14ac:dyDescent="0.25">
      <c r="A88" s="15"/>
      <c r="C88" s="17" t="s">
        <v>81</v>
      </c>
    </row>
    <row r="89" spans="1:11" ht="18" customHeight="1" x14ac:dyDescent="0.25">
      <c r="A89" s="15"/>
    </row>
    <row r="90" spans="1:11" x14ac:dyDescent="0.25">
      <c r="B90" s="15" t="s">
        <v>5</v>
      </c>
    </row>
    <row r="91" spans="1:11" x14ac:dyDescent="0.25">
      <c r="A91" s="15"/>
      <c r="B91" s="11" t="s">
        <v>68</v>
      </c>
    </row>
    <row r="92" spans="1:11" x14ac:dyDescent="0.25">
      <c r="A92" s="15"/>
      <c r="B92" s="11" t="s">
        <v>69</v>
      </c>
    </row>
    <row r="93" spans="1:11" x14ac:dyDescent="0.25">
      <c r="A93" s="15"/>
      <c r="B93" s="11" t="s">
        <v>70</v>
      </c>
    </row>
    <row r="94" spans="1:11" x14ac:dyDescent="0.25">
      <c r="A94" s="15"/>
      <c r="B94" s="11" t="s">
        <v>71</v>
      </c>
    </row>
    <row r="95" spans="1:11" x14ac:dyDescent="0.25">
      <c r="A95" s="15"/>
      <c r="B95" s="11" t="s">
        <v>72</v>
      </c>
    </row>
    <row r="96" spans="1:11" x14ac:dyDescent="0.25">
      <c r="B96" s="11" t="s">
        <v>73</v>
      </c>
      <c r="C96" s="18"/>
      <c r="E96" s="18"/>
      <c r="F96" s="18"/>
      <c r="G96" s="18"/>
      <c r="H96" s="18"/>
      <c r="I96" s="18"/>
    </row>
    <row r="97" spans="2:9" x14ac:dyDescent="0.25">
      <c r="B97" s="11" t="s">
        <v>82</v>
      </c>
      <c r="C97" s="18"/>
      <c r="E97" s="18"/>
      <c r="F97" s="18"/>
      <c r="G97" s="18"/>
      <c r="H97" s="18"/>
      <c r="I97" s="18"/>
    </row>
    <row r="98" spans="2:9" x14ac:dyDescent="0.25">
      <c r="B98" s="11"/>
      <c r="C98" s="18"/>
      <c r="E98" s="18"/>
      <c r="F98" s="18"/>
      <c r="G98" s="18"/>
      <c r="H98" s="18"/>
      <c r="I98" s="18"/>
    </row>
    <row r="99" spans="2:9" x14ac:dyDescent="0.25">
      <c r="B99" s="19" t="s">
        <v>83</v>
      </c>
    </row>
    <row r="100" spans="2:9" x14ac:dyDescent="0.25">
      <c r="B100" s="11" t="s">
        <v>67</v>
      </c>
    </row>
    <row r="101" spans="2:9" x14ac:dyDescent="0.25">
      <c r="B101" s="11" t="s">
        <v>84</v>
      </c>
    </row>
    <row r="102" spans="2:9" x14ac:dyDescent="0.25">
      <c r="B102" s="11" t="s">
        <v>74</v>
      </c>
    </row>
    <row r="103" spans="2:9" x14ac:dyDescent="0.25">
      <c r="B103" s="11" t="s">
        <v>85</v>
      </c>
    </row>
    <row r="104" spans="2:9" x14ac:dyDescent="0.25">
      <c r="B104" s="11" t="s">
        <v>86</v>
      </c>
    </row>
    <row r="105" spans="2:9" x14ac:dyDescent="0.25">
      <c r="B105" s="19"/>
    </row>
    <row r="106" spans="2:9" x14ac:dyDescent="0.25">
      <c r="B106" s="15" t="s">
        <v>87</v>
      </c>
    </row>
    <row r="107" spans="2:9" x14ac:dyDescent="0.25">
      <c r="B107" s="11" t="s">
        <v>67</v>
      </c>
    </row>
    <row r="108" spans="2:9" x14ac:dyDescent="0.25">
      <c r="B108" s="11" t="s">
        <v>88</v>
      </c>
    </row>
    <row r="109" spans="2:9" x14ac:dyDescent="0.25">
      <c r="B109" s="11" t="s">
        <v>74</v>
      </c>
    </row>
    <row r="110" spans="2:9" x14ac:dyDescent="0.25">
      <c r="B110" s="11" t="s">
        <v>89</v>
      </c>
    </row>
    <row r="111" spans="2:9" x14ac:dyDescent="0.25">
      <c r="B111" s="11" t="s">
        <v>86</v>
      </c>
    </row>
    <row r="112" spans="2:9" x14ac:dyDescent="0.25">
      <c r="B112" s="11"/>
    </row>
    <row r="113" spans="1:2" x14ac:dyDescent="0.25">
      <c r="B113" s="15" t="s">
        <v>90</v>
      </c>
    </row>
    <row r="114" spans="1:2" x14ac:dyDescent="0.25">
      <c r="B114" s="25" t="s">
        <v>67</v>
      </c>
    </row>
    <row r="115" spans="1:2" x14ac:dyDescent="0.25">
      <c r="A115" s="15"/>
      <c r="B115" s="11" t="s">
        <v>68</v>
      </c>
    </row>
    <row r="116" spans="1:2" x14ac:dyDescent="0.25">
      <c r="A116" s="15"/>
      <c r="B116" s="11" t="s">
        <v>69</v>
      </c>
    </row>
    <row r="117" spans="1:2" x14ac:dyDescent="0.25">
      <c r="A117" s="15"/>
      <c r="B117" s="11" t="s">
        <v>70</v>
      </c>
    </row>
    <row r="118" spans="1:2" x14ac:dyDescent="0.25">
      <c r="A118" s="15"/>
      <c r="B118" s="11" t="s">
        <v>71</v>
      </c>
    </row>
    <row r="119" spans="1:2" x14ac:dyDescent="0.25">
      <c r="B119" s="25"/>
    </row>
    <row r="120" spans="1:2" x14ac:dyDescent="0.25">
      <c r="B120" s="15" t="s">
        <v>9</v>
      </c>
    </row>
    <row r="121" spans="1:2" x14ac:dyDescent="0.25">
      <c r="B121" s="25" t="s">
        <v>67</v>
      </c>
    </row>
    <row r="122" spans="1:2" x14ac:dyDescent="0.25">
      <c r="A122" s="15"/>
      <c r="B122" s="11" t="s">
        <v>68</v>
      </c>
    </row>
    <row r="123" spans="1:2" x14ac:dyDescent="0.25">
      <c r="A123" s="15"/>
      <c r="B123" s="11" t="s">
        <v>69</v>
      </c>
    </row>
    <row r="124" spans="1:2" x14ac:dyDescent="0.25">
      <c r="A124" s="15"/>
      <c r="B124" s="11" t="s">
        <v>70</v>
      </c>
    </row>
    <row r="125" spans="1:2" x14ac:dyDescent="0.25">
      <c r="A125" s="15"/>
      <c r="B125" s="11" t="s">
        <v>71</v>
      </c>
    </row>
    <row r="126" spans="1:2" x14ac:dyDescent="0.25">
      <c r="B126" s="25"/>
    </row>
    <row r="127" spans="1:2" ht="15.75" customHeight="1" x14ac:dyDescent="0.25">
      <c r="B127" s="10" t="s">
        <v>91</v>
      </c>
    </row>
    <row r="128" spans="1:2" x14ac:dyDescent="0.25">
      <c r="B128" s="15" t="s">
        <v>10</v>
      </c>
    </row>
    <row r="129" spans="2:3" x14ac:dyDescent="0.25">
      <c r="B129" s="11" t="s">
        <v>92</v>
      </c>
    </row>
    <row r="130" spans="2:3" x14ac:dyDescent="0.25">
      <c r="B130" s="20"/>
    </row>
    <row r="131" spans="2:3" x14ac:dyDescent="0.25">
      <c r="B131" s="15" t="s">
        <v>11</v>
      </c>
    </row>
    <row r="132" spans="2:3" x14ac:dyDescent="0.25">
      <c r="B132" s="11" t="s">
        <v>92</v>
      </c>
    </row>
    <row r="133" spans="2:3" x14ac:dyDescent="0.25">
      <c r="B133" s="11"/>
    </row>
    <row r="134" spans="2:3" x14ac:dyDescent="0.25">
      <c r="B134" s="15" t="s">
        <v>12</v>
      </c>
    </row>
    <row r="135" spans="2:3" x14ac:dyDescent="0.25">
      <c r="B135" s="11" t="s">
        <v>92</v>
      </c>
    </row>
    <row r="136" spans="2:3" x14ac:dyDescent="0.25">
      <c r="B136" s="11"/>
    </row>
    <row r="137" spans="2:3" x14ac:dyDescent="0.25">
      <c r="B137" s="15" t="s">
        <v>13</v>
      </c>
    </row>
    <row r="138" spans="2:3" x14ac:dyDescent="0.25">
      <c r="B138" s="11" t="s">
        <v>92</v>
      </c>
    </row>
    <row r="139" spans="2:3" x14ac:dyDescent="0.25">
      <c r="B139" s="11"/>
    </row>
    <row r="140" spans="2:3" x14ac:dyDescent="0.25">
      <c r="B140" s="15" t="s">
        <v>14</v>
      </c>
    </row>
    <row r="141" spans="2:3" x14ac:dyDescent="0.25">
      <c r="B141" s="11" t="s">
        <v>92</v>
      </c>
    </row>
    <row r="142" spans="2:3" x14ac:dyDescent="0.25">
      <c r="B142" s="11" t="s">
        <v>93</v>
      </c>
    </row>
    <row r="143" spans="2:3" x14ac:dyDescent="0.25">
      <c r="B143" s="32" t="s">
        <v>94</v>
      </c>
      <c r="C143" s="16"/>
    </row>
    <row r="144" spans="2:3" x14ac:dyDescent="0.25">
      <c r="B144" s="32"/>
      <c r="C144" s="16" t="s">
        <v>95</v>
      </c>
    </row>
    <row r="145" spans="2:3" x14ac:dyDescent="0.25">
      <c r="B145" s="32"/>
      <c r="C145" s="16" t="s">
        <v>96</v>
      </c>
    </row>
    <row r="146" spans="2:3" x14ac:dyDescent="0.25">
      <c r="B146" s="32"/>
      <c r="C146" s="16" t="s">
        <v>97</v>
      </c>
    </row>
    <row r="147" spans="2:3" x14ac:dyDescent="0.25">
      <c r="B147" s="32" t="s">
        <v>98</v>
      </c>
      <c r="C147" s="16"/>
    </row>
    <row r="148" spans="2:3" x14ac:dyDescent="0.25">
      <c r="B148" s="32" t="s">
        <v>99</v>
      </c>
      <c r="C148" s="16"/>
    </row>
    <row r="149" spans="2:3" x14ac:dyDescent="0.25">
      <c r="B149" s="32"/>
      <c r="C149" s="16" t="s">
        <v>100</v>
      </c>
    </row>
    <row r="150" spans="2:3" x14ac:dyDescent="0.25">
      <c r="B150" s="32"/>
      <c r="C150" s="16" t="s">
        <v>101</v>
      </c>
    </row>
    <row r="151" spans="2:3" x14ac:dyDescent="0.25">
      <c r="B151" s="32"/>
      <c r="C151" s="16" t="s">
        <v>102</v>
      </c>
    </row>
    <row r="152" spans="2:3" x14ac:dyDescent="0.25">
      <c r="B152" s="32"/>
      <c r="C152" s="16" t="s">
        <v>103</v>
      </c>
    </row>
    <row r="153" spans="2:3" x14ac:dyDescent="0.25">
      <c r="B153" s="15"/>
      <c r="C153" s="16" t="s">
        <v>104</v>
      </c>
    </row>
    <row r="154" spans="2:3" x14ac:dyDescent="0.25">
      <c r="B154" s="15"/>
      <c r="C154" s="16" t="s">
        <v>105</v>
      </c>
    </row>
    <row r="155" spans="2:3" x14ac:dyDescent="0.25">
      <c r="B155" s="15"/>
      <c r="C155" s="16" t="s">
        <v>106</v>
      </c>
    </row>
    <row r="156" spans="2:3" x14ac:dyDescent="0.25">
      <c r="B156" s="15"/>
      <c r="C156" s="16" t="s">
        <v>107</v>
      </c>
    </row>
    <row r="157" spans="2:3" x14ac:dyDescent="0.25">
      <c r="B157" s="15"/>
      <c r="C157" s="16" t="s">
        <v>108</v>
      </c>
    </row>
    <row r="158" spans="2:3" x14ac:dyDescent="0.25">
      <c r="B158" s="15"/>
      <c r="C158" s="11" t="s">
        <v>109</v>
      </c>
    </row>
    <row r="159" spans="2:3" x14ac:dyDescent="0.25">
      <c r="B159" s="15"/>
      <c r="C159" s="11" t="s">
        <v>110</v>
      </c>
    </row>
    <row r="160" spans="2:3" x14ac:dyDescent="0.25">
      <c r="B160" s="11" t="s">
        <v>111</v>
      </c>
      <c r="C160" s="11"/>
    </row>
    <row r="161" spans="2:2" x14ac:dyDescent="0.25">
      <c r="B161" s="20"/>
    </row>
    <row r="162" spans="2:2" x14ac:dyDescent="0.25">
      <c r="B162" s="15" t="s">
        <v>15</v>
      </c>
    </row>
    <row r="163" spans="2:2" x14ac:dyDescent="0.25">
      <c r="B163" s="11" t="s">
        <v>112</v>
      </c>
    </row>
    <row r="164" spans="2:2" x14ac:dyDescent="0.25">
      <c r="B164" s="11" t="s">
        <v>113</v>
      </c>
    </row>
    <row r="165" spans="2:2" x14ac:dyDescent="0.25">
      <c r="B165" s="11" t="s">
        <v>114</v>
      </c>
    </row>
    <row r="167" spans="2:2" x14ac:dyDescent="0.25">
      <c r="B167" s="15" t="s">
        <v>16</v>
      </c>
    </row>
    <row r="168" spans="2:2" x14ac:dyDescent="0.25">
      <c r="B168" s="11" t="s">
        <v>67</v>
      </c>
    </row>
    <row r="169" spans="2:2" x14ac:dyDescent="0.25">
      <c r="B169" s="11" t="s">
        <v>73</v>
      </c>
    </row>
    <row r="170" spans="2:2" x14ac:dyDescent="0.25">
      <c r="B170" s="11" t="s">
        <v>74</v>
      </c>
    </row>
    <row r="171" spans="2:2" x14ac:dyDescent="0.25">
      <c r="B171" s="11" t="s">
        <v>75</v>
      </c>
    </row>
    <row r="172" spans="2:2" x14ac:dyDescent="0.25">
      <c r="B172" s="11"/>
    </row>
    <row r="173" spans="2:2" x14ac:dyDescent="0.25">
      <c r="B173" s="19" t="s">
        <v>17</v>
      </c>
    </row>
    <row r="174" spans="2:2" x14ac:dyDescent="0.25">
      <c r="B174" s="11" t="s">
        <v>67</v>
      </c>
    </row>
    <row r="175" spans="2:2" x14ac:dyDescent="0.25">
      <c r="B175" s="11" t="s">
        <v>73</v>
      </c>
    </row>
    <row r="176" spans="2:2" x14ac:dyDescent="0.25">
      <c r="B176" s="11" t="s">
        <v>113</v>
      </c>
    </row>
    <row r="177" spans="2:3" x14ac:dyDescent="0.25">
      <c r="B177" s="11" t="s">
        <v>74</v>
      </c>
    </row>
    <row r="178" spans="2:3" x14ac:dyDescent="0.25">
      <c r="B178" s="11" t="s">
        <v>75</v>
      </c>
    </row>
    <row r="180" spans="2:3" x14ac:dyDescent="0.25">
      <c r="B180" s="15" t="s">
        <v>18</v>
      </c>
    </row>
    <row r="181" spans="2:3" x14ac:dyDescent="0.25">
      <c r="B181" s="11" t="s">
        <v>112</v>
      </c>
    </row>
    <row r="182" spans="2:3" x14ac:dyDescent="0.25">
      <c r="B182" s="11" t="s">
        <v>73</v>
      </c>
    </row>
    <row r="183" spans="2:3" x14ac:dyDescent="0.25">
      <c r="B183" s="11" t="s">
        <v>113</v>
      </c>
    </row>
    <row r="184" spans="2:3" x14ac:dyDescent="0.25">
      <c r="B184" s="11" t="s">
        <v>74</v>
      </c>
    </row>
    <row r="186" spans="2:3" x14ac:dyDescent="0.25">
      <c r="B186" s="15" t="s">
        <v>19</v>
      </c>
    </row>
    <row r="187" spans="2:3" x14ac:dyDescent="0.25">
      <c r="B187" s="11" t="s">
        <v>67</v>
      </c>
    </row>
    <row r="188" spans="2:3" x14ac:dyDescent="0.25">
      <c r="B188" s="11" t="s">
        <v>115</v>
      </c>
    </row>
    <row r="189" spans="2:3" x14ac:dyDescent="0.25">
      <c r="B189" s="11" t="s">
        <v>116</v>
      </c>
      <c r="C189" s="11"/>
    </row>
    <row r="190" spans="2:3" x14ac:dyDescent="0.25">
      <c r="B190" s="11" t="s">
        <v>117</v>
      </c>
    </row>
    <row r="191" spans="2:3" x14ac:dyDescent="0.25">
      <c r="B191" s="11"/>
    </row>
    <row r="192" spans="2:3" x14ac:dyDescent="0.25">
      <c r="B192" s="15" t="s">
        <v>118</v>
      </c>
    </row>
    <row r="193" spans="2:3" x14ac:dyDescent="0.25">
      <c r="B193" s="11" t="s">
        <v>112</v>
      </c>
    </row>
    <row r="194" spans="2:3" x14ac:dyDescent="0.25">
      <c r="B194" s="11" t="s">
        <v>113</v>
      </c>
    </row>
    <row r="195" spans="2:3" x14ac:dyDescent="0.25">
      <c r="B195" s="11" t="s">
        <v>115</v>
      </c>
    </row>
    <row r="196" spans="2:3" x14ac:dyDescent="0.25">
      <c r="B196" s="11" t="s">
        <v>116</v>
      </c>
      <c r="C196" s="11"/>
    </row>
    <row r="197" spans="2:3" x14ac:dyDescent="0.25">
      <c r="B197" s="11" t="s">
        <v>74</v>
      </c>
    </row>
    <row r="198" spans="2:3" x14ac:dyDescent="0.25">
      <c r="B198" s="11" t="s">
        <v>85</v>
      </c>
    </row>
    <row r="199" spans="2:3" x14ac:dyDescent="0.25">
      <c r="B199" s="11"/>
    </row>
    <row r="200" spans="2:3" x14ac:dyDescent="0.25">
      <c r="B200" s="19" t="s">
        <v>21</v>
      </c>
    </row>
    <row r="201" spans="2:3" x14ac:dyDescent="0.25">
      <c r="B201" s="11" t="s">
        <v>67</v>
      </c>
    </row>
    <row r="202" spans="2:3" x14ac:dyDescent="0.25">
      <c r="B202" s="11" t="s">
        <v>119</v>
      </c>
    </row>
    <row r="203" spans="2:3" x14ac:dyDescent="0.25">
      <c r="B203" s="11" t="s">
        <v>120</v>
      </c>
      <c r="C203" s="11"/>
    </row>
    <row r="204" spans="2:3" x14ac:dyDescent="0.25">
      <c r="B204" s="11" t="s">
        <v>241</v>
      </c>
    </row>
    <row r="205" spans="2:3" x14ac:dyDescent="0.25">
      <c r="B205" s="11" t="s">
        <v>242</v>
      </c>
    </row>
    <row r="206" spans="2:3" x14ac:dyDescent="0.25">
      <c r="B206" s="11"/>
    </row>
    <row r="207" spans="2:3" x14ac:dyDescent="0.25">
      <c r="B207" s="15" t="s">
        <v>22</v>
      </c>
    </row>
    <row r="208" spans="2:3" x14ac:dyDescent="0.25">
      <c r="B208" s="11" t="s">
        <v>112</v>
      </c>
    </row>
    <row r="209" spans="2:13" x14ac:dyDescent="0.25">
      <c r="B209" s="11" t="s">
        <v>113</v>
      </c>
    </row>
    <row r="210" spans="2:13" x14ac:dyDescent="0.25">
      <c r="B210" s="11" t="s">
        <v>119</v>
      </c>
    </row>
    <row r="211" spans="2:13" x14ac:dyDescent="0.25">
      <c r="B211" s="11" t="s">
        <v>120</v>
      </c>
      <c r="C211" s="11"/>
    </row>
    <row r="212" spans="2:13" x14ac:dyDescent="0.25">
      <c r="B212" s="11" t="s">
        <v>74</v>
      </c>
    </row>
    <row r="213" spans="2:13" x14ac:dyDescent="0.25">
      <c r="B213" s="11" t="s">
        <v>85</v>
      </c>
    </row>
    <row r="215" spans="2:13" x14ac:dyDescent="0.25">
      <c r="B215" s="23" t="s">
        <v>121</v>
      </c>
    </row>
    <row r="216" spans="2:13" x14ac:dyDescent="0.25">
      <c r="B216" s="23" t="s">
        <v>122</v>
      </c>
    </row>
    <row r="217" spans="2:13" x14ac:dyDescent="0.25">
      <c r="B217" s="33" t="s">
        <v>123</v>
      </c>
      <c r="C217" s="7"/>
      <c r="D217" s="7"/>
      <c r="F217" s="7"/>
      <c r="G217" s="7"/>
      <c r="H217" s="7"/>
    </row>
    <row r="218" spans="2:13" x14ac:dyDescent="0.25">
      <c r="B218" s="22"/>
    </row>
    <row r="219" spans="2:13" x14ac:dyDescent="0.25">
      <c r="B219" s="34" t="s">
        <v>124</v>
      </c>
      <c r="D219" s="5"/>
      <c r="E219" s="5"/>
      <c r="F219" s="5"/>
      <c r="G219" s="5"/>
      <c r="H219" s="5"/>
      <c r="I219" s="21"/>
      <c r="K219" s="4"/>
      <c r="M219" s="4"/>
    </row>
  </sheetData>
  <hyperlinks>
    <hyperlink ref="B217" r:id="rId1" xr:uid="{1591579A-FE59-43D1-9721-00D90BC55679}"/>
    <hyperlink ref="B219" location="Contents!A1" display="Contents!A1" xr:uid="{BF5CD21E-43E4-4EA1-9290-E8E07D2335E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002da713-8376-4226-8bac-e6506b2c9ad4"/>
    <AIHW_PPR_AnalysisFileRunBy xmlns="002da713-8376-4226-8bac-e6506b2c9ad4">
      <UserInfo>
        <DisplayName/>
        <AccountId xsi:nil="true"/>
        <AccountType/>
      </UserInfo>
    </AIHW_PPR_AnalysisFileRunBy>
    <AIHW_PPR_AnalysisFileVersion xmlns="002da713-8376-4226-8bac-e6506b2c9ad4" xsi:nil="true"/>
    <AIHW_PPR_AnalysisFilePath xmlns="002da713-8376-4226-8bac-e6506b2c9ad4" xsi:nil="true"/>
    <AIHW_PPR_AnalysisFileRunDate xmlns="002da713-8376-4226-8bac-e6506b2c9ad4" xsi:nil="true"/>
    <AIHW_PPR_Checksum xmlns="002da713-8376-4226-8bac-e6506b2c9ad4" xsi:nil="true"/>
    <AIHW_PPR_AnalysisFileSessionId xmlns="002da713-8376-4226-8bac-e6506b2c9ad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FB156D5767370D479BB3B57D8CFFDB36" ma:contentTypeVersion="1" ma:contentTypeDescription="Create a new data object document." ma:contentTypeScope="" ma:versionID="ff1e64231cbcf1207486dda6525336ed">
  <xsd:schema xmlns:xsd="http://www.w3.org/2001/XMLSchema" xmlns:xs="http://www.w3.org/2001/XMLSchema" xmlns:p="http://schemas.microsoft.com/office/2006/metadata/properties" xmlns:ns2="002da713-8376-4226-8bac-e6506b2c9ad4" targetNamespace="http://schemas.microsoft.com/office/2006/metadata/properties" ma:root="true" ma:fieldsID="ecff8b71741e2a273ec3ed12f35cac23" ns2:_="">
    <xsd:import namespace="002da713-8376-4226-8bac-e6506b2c9ad4"/>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2da713-8376-4226-8bac-e6506b2c9ad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61afb4-af99-4ea9-9104-6faddbad18de}" ma:internalName="AIHW_PPR_ProjectCategoryLookup" ma:showField="Title" ma:web="{002da713-8376-4226-8bac-e6506b2c9ad4}">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A1C1D2-9372-4A52-81AD-B06BD0AA9505}">
  <ds:schemaRef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002da713-8376-4226-8bac-e6506b2c9ad4"/>
    <ds:schemaRef ds:uri="http://schemas.microsoft.com/office/2006/metadata/properties"/>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63BC4154-6C8B-4FE2-A281-0C27230739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2da713-8376-4226-8bac-e6506b2c9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44B601-8B6E-4DF4-988E-BE488D68B7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23</vt:i4>
      </vt:variant>
      <vt:variant>
        <vt:lpstr>Named Ranges</vt:lpstr>
      </vt:variant>
      <vt:variant>
        <vt:i4>11</vt:i4>
      </vt:variant>
    </vt:vector>
  </HeadingPairs>
  <TitlesOfParts>
    <vt:vector size="34" baseType="lpstr">
      <vt:lpstr>Contents</vt:lpstr>
      <vt:lpstr>Table 3.1</vt:lpstr>
      <vt:lpstr>Table 3.2</vt:lpstr>
      <vt:lpstr>Table 3.3</vt:lpstr>
      <vt:lpstr>Table 3.4</vt:lpstr>
      <vt:lpstr>Table 3.5</vt:lpstr>
      <vt:lpstr>Table 3.6</vt:lpstr>
      <vt:lpstr>Table 3.7</vt:lpstr>
      <vt:lpstr>Table 3.8</vt:lpstr>
      <vt:lpstr>Table S3.1</vt:lpstr>
      <vt:lpstr>Table S3.2</vt:lpstr>
      <vt:lpstr>Table S3.3</vt:lpstr>
      <vt:lpstr>Table S3.4</vt:lpstr>
      <vt:lpstr>Table S3.5</vt:lpstr>
      <vt:lpstr>Table S3.6</vt:lpstr>
      <vt:lpstr>Table S3.7</vt:lpstr>
      <vt:lpstr>Table S3.8</vt:lpstr>
      <vt:lpstr>Table S3.9</vt:lpstr>
      <vt:lpstr>Table S3.10</vt:lpstr>
      <vt:lpstr>Table S3.11</vt:lpstr>
      <vt:lpstr>Table S3.12</vt:lpstr>
      <vt:lpstr>Table S3.13</vt:lpstr>
      <vt:lpstr>Technical specifications</vt:lpstr>
      <vt:lpstr>Contents!_Toc410403188</vt:lpstr>
      <vt:lpstr>Contents!_Toc410403189</vt:lpstr>
      <vt:lpstr>Contents!_Toc410403190</vt:lpstr>
      <vt:lpstr>Contents!_Toc410403191</vt:lpstr>
      <vt:lpstr>Contents!_Toc410403192</vt:lpstr>
      <vt:lpstr>Contents!_Toc410403193</vt:lpstr>
      <vt:lpstr>Contents!_Toc410403194</vt:lpstr>
      <vt:lpstr>Contents!_Toc410403195</vt:lpstr>
      <vt:lpstr>Contents!_Toc410403196</vt:lpstr>
      <vt:lpstr>Contents!_Toc410403197</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AIHW</dc:creator>
  <dcterms:created xsi:type="dcterms:W3CDTF">2006-09-16T00:00:00Z</dcterms:created>
  <dcterms:modified xsi:type="dcterms:W3CDTF">2026-05-21T00:45:44Z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0x010100B4A1F787F0C441AC878A307E051D262E00226E8B188E214B8AB06D165B586CEFC300FB156D5767370D479BB3B57D8CFFDB36</vt:lpwstr>
  </property>
</Properties>
</file>